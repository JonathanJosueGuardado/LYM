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rupologistico-my.sharepoint.com/personal/jonathan_guardado_glcamerica_com/Documents/PROYECTO L Y M/CONTROL VEHICULOS LYM/REPORTES/"/>
    </mc:Choice>
  </mc:AlternateContent>
  <xr:revisionPtr revIDLastSave="5" documentId="11_910FA19BB981860A8FBD43943FCF317E7FAA0346" xr6:coauthVersionLast="47" xr6:coauthVersionMax="47" xr10:uidLastSave="{9BD36B5C-09EE-4B07-B2B4-C82329A76B32}"/>
  <bookViews>
    <workbookView xWindow="-108" yWindow="-108" windowWidth="23256" windowHeight="13896" xr2:uid="{00000000-000D-0000-FFFF-FFFF00000000}"/>
  </bookViews>
  <sheets>
    <sheet name="Inventario General" sheetId="1" r:id="rId1"/>
    <sheet name="Dashboard Gerencial" sheetId="2" r:id="rId2"/>
    <sheet name="Reportes Detalle" sheetId="3" r:id="rId3"/>
    <sheet name="Historial Disponible" sheetId="4" r:id="rId4"/>
  </sheets>
  <definedNames>
    <definedName name="_xlnm._FilterDatabase" localSheetId="0" hidden="1">'Inventario General'!$A$4:$AC$18</definedName>
  </definedNames>
  <calcPr calcId="0"/>
</workbook>
</file>

<file path=xl/sharedStrings.xml><?xml version="1.0" encoding="utf-8"?>
<sst xmlns="http://schemas.openxmlformats.org/spreadsheetml/2006/main" count="225" uniqueCount="156">
  <si>
    <t>INVENTARIO Y ESTATUS DE VEHÍCULOS GENERAL JUNIO 2026</t>
  </si>
  <si>
    <t>No.</t>
  </si>
  <si>
    <t>LOT</t>
  </si>
  <si>
    <t>FECHA DE COMPRA</t>
  </si>
  <si>
    <t>FECHA DE VENTA</t>
  </si>
  <si>
    <t>VEHÍCULO</t>
  </si>
  <si>
    <t>ESTATUS</t>
  </si>
  <si>
    <t>OBSERVACIONES</t>
  </si>
  <si>
    <t>SUMMARY</t>
  </si>
  <si>
    <t>FECHAS LINEALES DEL PROCESO</t>
  </si>
  <si>
    <t>DÍAS POR ETAPA Y TOTALES</t>
  </si>
  <si>
    <t>MARCA</t>
  </si>
  <si>
    <t>MODELO</t>
  </si>
  <si>
    <t>AÑO</t>
  </si>
  <si>
    <t>CANTIDAD</t>
  </si>
  <si>
    <t>FECHA TRASLADO GRÚA</t>
  </si>
  <si>
    <t>LLEGADA YARDA</t>
  </si>
  <si>
    <t>INICIO TRÁNSITO</t>
  </si>
  <si>
    <t>LLEGADA ADUANA</t>
  </si>
  <si>
    <t>INICIO LEGALIZACIÓN</t>
  </si>
  <si>
    <t>INGRESO TALLER</t>
  </si>
  <si>
    <t>DISPONIBLE VENTA</t>
  </si>
  <si>
    <t>DÍAS TRASLADO</t>
  </si>
  <si>
    <t>DÍAS TRÁNSITO</t>
  </si>
  <si>
    <t>DÍAS ADUANA</t>
  </si>
  <si>
    <t>DÍAS LEGALIZACIÓN</t>
  </si>
  <si>
    <t>DÍAS TALLER</t>
  </si>
  <si>
    <t>COMPRA → DISPONIBLE</t>
  </si>
  <si>
    <t>COMPRA → VENTA</t>
  </si>
  <si>
    <t>DÍAS SIN VENDER</t>
  </si>
  <si>
    <t>SEMÁFORO</t>
  </si>
  <si>
    <t>MES VENTA</t>
  </si>
  <si>
    <t>TIPO COMPRA</t>
  </si>
  <si>
    <t>SDAD</t>
  </si>
  <si>
    <t>HYUNDAI</t>
  </si>
  <si>
    <t>ELANTRA</t>
  </si>
  <si>
    <t>TRANSITO</t>
  </si>
  <si>
    <t>OK</t>
  </si>
  <si>
    <t>LOTE</t>
  </si>
  <si>
    <t>1815616</t>
  </si>
  <si>
    <t>TOYOTA</t>
  </si>
  <si>
    <t>MATRIX</t>
  </si>
  <si>
    <t>189165</t>
  </si>
  <si>
    <t>FORD</t>
  </si>
  <si>
    <t>ESCAPE</t>
  </si>
  <si>
    <t>VENDIDO</t>
  </si>
  <si>
    <t>maria lopez</t>
  </si>
  <si>
    <t>VENDIDO JUNIO 2026</t>
  </si>
  <si>
    <t>2859198</t>
  </si>
  <si>
    <t>HONDA</t>
  </si>
  <si>
    <t>CIVIC</t>
  </si>
  <si>
    <t>VENDIDO TOTAL</t>
  </si>
  <si>
    <t>LT1951</t>
  </si>
  <si>
    <t>SANTA FE</t>
  </si>
  <si>
    <t>INVENTARIO TOTAL</t>
  </si>
  <si>
    <t>LOTE 51</t>
  </si>
  <si>
    <t>LUPITA</t>
  </si>
  <si>
    <t>LOTE 5</t>
  </si>
  <si>
    <t>MARIA</t>
  </si>
  <si>
    <t>69991855</t>
  </si>
  <si>
    <t>818919148</t>
  </si>
  <si>
    <t>CERRADO</t>
  </si>
  <si>
    <t>8585</t>
  </si>
  <si>
    <t>CRV</t>
  </si>
  <si>
    <t>8080</t>
  </si>
  <si>
    <t>80809814</t>
  </si>
  <si>
    <t>LOCAL</t>
  </si>
  <si>
    <t>8081918</t>
  </si>
  <si>
    <t>AUDI</t>
  </si>
  <si>
    <t>Total unidades</t>
  </si>
  <si>
    <t>Inventario activo</t>
  </si>
  <si>
    <t>Vendidos total</t>
  </si>
  <si>
    <t>En tránsito</t>
  </si>
  <si>
    <t>Disponibles</t>
  </si>
  <si>
    <t>Prom. días venta</t>
  </si>
  <si>
    <t>Marca más vendida</t>
  </si>
  <si>
    <t>Marca más rápida</t>
  </si>
  <si>
    <t>Críticos +120</t>
  </si>
  <si>
    <t>FORD, HONDA</t>
  </si>
  <si>
    <t>ESTATUS ACTIVO — 100% SIN VENDIDOS</t>
  </si>
  <si>
    <t>ESTATUS GENERAL — 100% INCLUYE VENDIDOS</t>
  </si>
  <si>
    <t>Estatus</t>
  </si>
  <si>
    <t>Cantidad</t>
  </si>
  <si>
    <t>% activo</t>
  </si>
  <si>
    <t>% total</t>
  </si>
  <si>
    <t>VENTAS POR MES, % Y VARIACIÓN MENSUAL</t>
  </si>
  <si>
    <t>Mes</t>
  </si>
  <si>
    <t>Vendidos</t>
  </si>
  <si>
    <t>% vendidos</t>
  </si>
  <si>
    <t>Variación vs mes anterior</t>
  </si>
  <si>
    <t>Tendencia</t>
  </si>
  <si>
    <t>Marcas vendidas</t>
  </si>
  <si>
    <t>Junio 2026</t>
  </si>
  <si>
    <t>Sin comparación</t>
  </si>
  <si>
    <t>HYUNDAI (1)</t>
  </si>
  <si>
    <t>DETALLE DE TIEMPOS POR VEHÍCULO</t>
  </si>
  <si>
    <t>Código</t>
  </si>
  <si>
    <t>Vehículo</t>
  </si>
  <si>
    <t>Compra</t>
  </si>
  <si>
    <t>Traslado grúa</t>
  </si>
  <si>
    <t>Yarda</t>
  </si>
  <si>
    <t>Tránsito</t>
  </si>
  <si>
    <t>Aduana</t>
  </si>
  <si>
    <t>Legalización</t>
  </si>
  <si>
    <t>Taller</t>
  </si>
  <si>
    <t>Disponible</t>
  </si>
  <si>
    <t>Venta</t>
  </si>
  <si>
    <t>Días compra→disp</t>
  </si>
  <si>
    <t>Días compra→venta</t>
  </si>
  <si>
    <t>LYM-CV-2026-0001</t>
  </si>
  <si>
    <t>HYUNDAI ELANTRA 2025</t>
  </si>
  <si>
    <t>LYM-CV-2026-0003</t>
  </si>
  <si>
    <t>TOYOTA MATRIX 2010</t>
  </si>
  <si>
    <t>LYM-CV-2026-0004</t>
  </si>
  <si>
    <t>FORD ESCAPE 2015</t>
  </si>
  <si>
    <t>LYM-CV-2026-0005</t>
  </si>
  <si>
    <t>HONDA CIVIC 2018</t>
  </si>
  <si>
    <t>LYM-CV-2026-0006</t>
  </si>
  <si>
    <t>HYUNDAI SANTA FE 2019</t>
  </si>
  <si>
    <t>LYM-CV-2026-0007</t>
  </si>
  <si>
    <t>HONDA CIVIC 2019</t>
  </si>
  <si>
    <t>LYM-CV-2026-0008</t>
  </si>
  <si>
    <t>FORD ESCAPE 2017</t>
  </si>
  <si>
    <t>LYM-CV-2026-0009</t>
  </si>
  <si>
    <t>HONDA CIVIC 2017</t>
  </si>
  <si>
    <t>LYM-CV-2026-0010</t>
  </si>
  <si>
    <t>HYUNDAI ELANTRA 2019</t>
  </si>
  <si>
    <t>LYM-CV-2026-0011</t>
  </si>
  <si>
    <t>HONDA CRV 2020</t>
  </si>
  <si>
    <t>LYM-CV-2026-0012</t>
  </si>
  <si>
    <t>HYUNDAI ELANTRA 2020</t>
  </si>
  <si>
    <t>LYM-CV-2026-0013</t>
  </si>
  <si>
    <t>HONDA CRV 2019</t>
  </si>
  <si>
    <t>LYM-CV-2026-0014</t>
  </si>
  <si>
    <t>LYM-CV-2026-0015</t>
  </si>
  <si>
    <t>AUDI CIVIC 2019</t>
  </si>
  <si>
    <t>HISTORIAL DISPONIBLE PARA LA VENTA</t>
  </si>
  <si>
    <t>Semanas calculadas desde las fechas de disponible y venta registradas en el sistema.</t>
  </si>
  <si>
    <t>Semana</t>
  </si>
  <si>
    <t>Desde</t>
  </si>
  <si>
    <t>Hasta</t>
  </si>
  <si>
    <t>Vendidos acumulados</t>
  </si>
  <si>
    <t>Capital disponible</t>
  </si>
  <si>
    <t>Ganancia esperada</t>
  </si>
  <si>
    <t>Vehículos disponibles</t>
  </si>
  <si>
    <t>Observaciones</t>
  </si>
  <si>
    <t>Semana 1</t>
  </si>
  <si>
    <t>Semana 2</t>
  </si>
  <si>
    <t>Semana 3</t>
  </si>
  <si>
    <t>Semana 4</t>
  </si>
  <si>
    <t>Semana 5</t>
  </si>
  <si>
    <t>ELANTRA, CIVIC</t>
  </si>
  <si>
    <t>Semana 6</t>
  </si>
  <si>
    <t>ELANTRA, MATRIX, ESCAPE, CIVIC, ELANTRA, CRV</t>
  </si>
  <si>
    <t>Semana 7</t>
  </si>
  <si>
    <t>ELANTRA, MATRIX, ESCAPE, CIVIC, CIVIC, ESCAPE, CIVIC, ELANTRA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</si>
</sst>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0.0%"/>
    <numFmt numFmtId="167" formatCode="\$#,##0.00"/>
  </numFmts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b/>
      <sz val="9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1"/>
      <color rgb="FF08285A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b/>
      <sz val="10"/>
      <color rgb="FF08285A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59A13"/>
      </patternFill>
    </fill>
    <fill>
      <patternFill patternType="solid">
        <fgColor rgb="FF08285A"/>
      </patternFill>
    </fill>
    <fill>
      <patternFill patternType="solid">
        <fgColor rgb="FFFFD966"/>
      </patternFill>
    </fill>
    <fill>
      <patternFill patternType="solid">
        <fgColor rgb="FFF2F2F2"/>
      </patternFill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F8FAFC"/>
      </patternFill>
    </fill>
    <fill>
      <patternFill patternType="solid">
        <fgColor rgb="FFFFF2CC"/>
      </patternFill>
    </fill>
    <fill>
      <patternFill patternType="solid">
        <fgColor rgb="FF548235"/>
      </patternFill>
    </fill>
    <fill>
      <patternFill patternType="solid">
        <fgColor rgb="FF9E480E"/>
      </patternFill>
    </fill>
    <fill>
      <patternFill patternType="solid">
        <fgColor rgb="FFEFF4F9"/>
      </patternFill>
    </fill>
  </fills>
  <borders count="3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165" fontId="4" fillId="8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167" fontId="4" fillId="8" borderId="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14" fontId="4" fillId="8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Estatus activo sin vendidos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'Dashboard Gerencial'!$B$9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H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Gerencial'!$A$10:$A$11</c:f>
              <c:strCache>
                <c:ptCount val="2"/>
                <c:pt idx="0">
                  <c:v>DISPONIBLE VENTA</c:v>
                </c:pt>
                <c:pt idx="1">
                  <c:v>TRANSITO</c:v>
                </c:pt>
              </c:strCache>
            </c:strRef>
          </c:cat>
          <c:val>
            <c:numRef>
              <c:f>'Dashboard Gerencial'!$B$10:$B$11</c:f>
              <c:numCache>
                <c:formatCode>General</c:formatCode>
                <c:ptCount val="2"/>
                <c:pt idx="0">
                  <c:v>9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B-4AD8-8877-2BA9D532B46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Estatus general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'Dashboard Gerencial'!$I$9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H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Gerencial'!$H$10:$H$12</c:f>
              <c:strCache>
                <c:ptCount val="3"/>
                <c:pt idx="0">
                  <c:v>DISPONIBLE VENTA</c:v>
                </c:pt>
                <c:pt idx="1">
                  <c:v>VENDIDO</c:v>
                </c:pt>
                <c:pt idx="2">
                  <c:v>TRANSITO</c:v>
                </c:pt>
              </c:strCache>
            </c:strRef>
          </c:cat>
          <c:val>
            <c:numRef>
              <c:f>'Dashboard Gerencial'!$I$10:$I$12</c:f>
              <c:numCache>
                <c:formatCode>General</c:formatCode>
                <c:ptCount val="3"/>
                <c:pt idx="0">
                  <c:v>9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E-41E6-A018-C5FD5F1EC37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Unidades vendidas por mes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'Dashboard Gerencial'!$B$26</c:f>
              <c:strCache>
                <c:ptCount val="1"/>
                <c:pt idx="0">
                  <c:v>Vendidos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lt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</c:dPt>
          <c:cat>
            <c:strRef>
              <c:f>'Dashboard Gerencial'!$A$27</c:f>
              <c:strCache>
                <c:ptCount val="1"/>
                <c:pt idx="0">
                  <c:v>Junio 2026</c:v>
                </c:pt>
              </c:strCache>
            </c:strRef>
          </c:cat>
          <c:val>
            <c:numRef>
              <c:f>'Dashboard Gerencial'!$B$27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AF-425D-A00D-C893FCC30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160020</xdr:colOff>
      <xdr:row>6</xdr:row>
      <xdr:rowOff>106680</xdr:rowOff>
    </xdr:from>
    <xdr:ext cx="4160520" cy="21869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7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24</xdr:row>
      <xdr:rowOff>0</xdr:rowOff>
    </xdr:from>
    <xdr:ext cx="576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8"/>
  <sheetViews>
    <sheetView showGridLines="0" tabSelected="1" workbookViewId="0">
      <pane ySplit="4" topLeftCell="A5" activePane="bottomLeft" state="frozen"/>
      <selection pane="bottomLeft" activeCell="AA13" sqref="AA13"/>
    </sheetView>
  </sheetViews>
  <sheetFormatPr baseColWidth="10" defaultColWidth="8.88671875" defaultRowHeight="14.4" x14ac:dyDescent="0.3"/>
  <cols>
    <col min="1" max="1" width="5" customWidth="1"/>
    <col min="2" max="4" width="13" customWidth="1"/>
    <col min="5" max="5" width="14" customWidth="1"/>
    <col min="6" max="6" width="18" customWidth="1"/>
    <col min="7" max="7" width="8" customWidth="1"/>
    <col min="8" max="8" width="18" customWidth="1"/>
    <col min="9" max="9" width="32" customWidth="1"/>
    <col min="10" max="10" width="20" customWidth="1"/>
    <col min="11" max="11" width="8" customWidth="1"/>
    <col min="12" max="12" width="15" customWidth="1"/>
    <col min="13" max="13" width="16" customWidth="1"/>
    <col min="14" max="18" width="15" customWidth="1"/>
    <col min="19" max="23" width="10" customWidth="1"/>
    <col min="24" max="27" width="12" customWidth="1"/>
    <col min="28" max="28" width="13" customWidth="1"/>
    <col min="29" max="29" width="12" customWidth="1"/>
  </cols>
  <sheetData>
    <row r="2" spans="1:29" ht="22.05" customHeight="1" x14ac:dyDescent="0.3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 spans="1:29" ht="25.05" customHeight="1" x14ac:dyDescent="0.3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/>
      <c r="G3" s="14"/>
      <c r="H3" s="14" t="s">
        <v>6</v>
      </c>
      <c r="I3" s="14" t="s">
        <v>7</v>
      </c>
      <c r="J3" s="14" t="s">
        <v>8</v>
      </c>
      <c r="K3" s="14"/>
      <c r="L3" s="14" t="s">
        <v>9</v>
      </c>
      <c r="M3" s="14"/>
      <c r="N3" s="14"/>
      <c r="O3" s="14"/>
      <c r="P3" s="14"/>
      <c r="Q3" s="14"/>
      <c r="R3" s="14"/>
      <c r="S3" s="14" t="s">
        <v>10</v>
      </c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ht="30" customHeight="1" x14ac:dyDescent="0.3">
      <c r="A4" s="14"/>
      <c r="B4" s="14"/>
      <c r="C4" s="14"/>
      <c r="D4" s="14"/>
      <c r="E4" s="1" t="s">
        <v>11</v>
      </c>
      <c r="F4" s="1" t="s">
        <v>12</v>
      </c>
      <c r="G4" s="1" t="s">
        <v>13</v>
      </c>
      <c r="H4" s="14"/>
      <c r="I4" s="14"/>
      <c r="J4" s="1" t="s">
        <v>6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</row>
    <row r="5" spans="1:29" x14ac:dyDescent="0.3">
      <c r="A5" s="2">
        <v>1</v>
      </c>
      <c r="B5" s="2" t="s">
        <v>33</v>
      </c>
      <c r="C5" s="3">
        <v>46178</v>
      </c>
      <c r="D5" s="3"/>
      <c r="E5" s="2" t="s">
        <v>34</v>
      </c>
      <c r="F5" s="2" t="s">
        <v>35</v>
      </c>
      <c r="G5" s="2">
        <v>2025</v>
      </c>
      <c r="H5" s="4" t="s">
        <v>21</v>
      </c>
      <c r="I5" s="2"/>
      <c r="J5" s="5" t="s">
        <v>36</v>
      </c>
      <c r="K5" s="6">
        <v>1</v>
      </c>
      <c r="L5" s="3">
        <v>46147</v>
      </c>
      <c r="M5" s="3">
        <v>46147</v>
      </c>
      <c r="N5" s="3">
        <v>46160</v>
      </c>
      <c r="O5" s="3">
        <v>46167</v>
      </c>
      <c r="P5" s="3"/>
      <c r="Q5" s="3"/>
      <c r="R5" s="3">
        <v>46172</v>
      </c>
      <c r="S5" s="2">
        <v>0</v>
      </c>
      <c r="T5" s="2">
        <v>7</v>
      </c>
      <c r="U5" s="2">
        <v>0</v>
      </c>
      <c r="V5" s="2"/>
      <c r="W5" s="2"/>
      <c r="X5" s="2">
        <v>0</v>
      </c>
      <c r="Y5" s="2"/>
      <c r="Z5" s="2">
        <v>15</v>
      </c>
      <c r="AA5" s="6" t="s">
        <v>37</v>
      </c>
      <c r="AB5" s="2"/>
      <c r="AC5" s="2" t="s">
        <v>38</v>
      </c>
    </row>
    <row r="6" spans="1:29" x14ac:dyDescent="0.3">
      <c r="A6" s="2">
        <v>2</v>
      </c>
      <c r="B6" s="2" t="s">
        <v>39</v>
      </c>
      <c r="C6" s="3">
        <v>46174</v>
      </c>
      <c r="D6" s="3"/>
      <c r="E6" s="2" t="s">
        <v>40</v>
      </c>
      <c r="F6" s="2" t="s">
        <v>41</v>
      </c>
      <c r="G6" s="2">
        <v>2010</v>
      </c>
      <c r="H6" s="4" t="s">
        <v>21</v>
      </c>
      <c r="I6" s="2"/>
      <c r="J6" s="4" t="s">
        <v>21</v>
      </c>
      <c r="K6" s="6">
        <v>9</v>
      </c>
      <c r="L6" s="3">
        <v>46179</v>
      </c>
      <c r="M6" s="3">
        <v>46175</v>
      </c>
      <c r="N6" s="3">
        <v>46176</v>
      </c>
      <c r="O6" s="3">
        <v>46179</v>
      </c>
      <c r="P6" s="3"/>
      <c r="Q6" s="3"/>
      <c r="R6" s="3">
        <v>46179</v>
      </c>
      <c r="S6" s="2">
        <v>0</v>
      </c>
      <c r="T6" s="2">
        <v>3</v>
      </c>
      <c r="U6" s="2">
        <v>0</v>
      </c>
      <c r="V6" s="2"/>
      <c r="W6" s="2"/>
      <c r="X6" s="2">
        <v>5</v>
      </c>
      <c r="Y6" s="2"/>
      <c r="Z6" s="2">
        <v>8</v>
      </c>
      <c r="AA6" s="6" t="s">
        <v>37</v>
      </c>
      <c r="AB6" s="2"/>
      <c r="AC6" s="2" t="s">
        <v>38</v>
      </c>
    </row>
    <row r="7" spans="1:29" x14ac:dyDescent="0.3">
      <c r="A7" s="2">
        <v>3</v>
      </c>
      <c r="B7" s="2" t="s">
        <v>42</v>
      </c>
      <c r="C7" s="3">
        <v>46144</v>
      </c>
      <c r="D7" s="3"/>
      <c r="E7" s="2" t="s">
        <v>43</v>
      </c>
      <c r="F7" s="2" t="s">
        <v>44</v>
      </c>
      <c r="G7" s="2">
        <v>2015</v>
      </c>
      <c r="H7" s="7" t="s">
        <v>45</v>
      </c>
      <c r="I7" s="2" t="s">
        <v>46</v>
      </c>
      <c r="J7" s="7" t="s">
        <v>47</v>
      </c>
      <c r="K7" s="6">
        <v>1</v>
      </c>
      <c r="L7" s="3">
        <v>46145</v>
      </c>
      <c r="M7" s="3">
        <v>46174</v>
      </c>
      <c r="N7" s="3">
        <v>46175</v>
      </c>
      <c r="O7" s="3">
        <v>46176</v>
      </c>
      <c r="P7" s="3"/>
      <c r="Q7" s="3"/>
      <c r="R7" s="3">
        <v>46179</v>
      </c>
      <c r="S7" s="2">
        <v>29</v>
      </c>
      <c r="T7" s="2">
        <v>1</v>
      </c>
      <c r="U7" s="2">
        <v>0</v>
      </c>
      <c r="V7" s="2"/>
      <c r="W7" s="2"/>
      <c r="X7" s="2">
        <v>35</v>
      </c>
      <c r="Y7" s="2"/>
      <c r="Z7" s="2">
        <v>8</v>
      </c>
      <c r="AA7" s="6" t="s">
        <v>37</v>
      </c>
      <c r="AB7" s="2"/>
      <c r="AC7" s="2" t="s">
        <v>38</v>
      </c>
    </row>
    <row r="8" spans="1:29" x14ac:dyDescent="0.3">
      <c r="A8" s="2">
        <v>4</v>
      </c>
      <c r="B8" s="2" t="s">
        <v>48</v>
      </c>
      <c r="C8" s="3">
        <v>46167</v>
      </c>
      <c r="D8" s="3"/>
      <c r="E8" s="2" t="s">
        <v>49</v>
      </c>
      <c r="F8" s="2" t="s">
        <v>50</v>
      </c>
      <c r="G8" s="2">
        <v>2018</v>
      </c>
      <c r="H8" s="4" t="s">
        <v>21</v>
      </c>
      <c r="I8" s="2"/>
      <c r="J8" s="7" t="s">
        <v>51</v>
      </c>
      <c r="K8" s="6">
        <v>4</v>
      </c>
      <c r="L8" s="3">
        <v>46168</v>
      </c>
      <c r="M8" s="3">
        <v>46168</v>
      </c>
      <c r="N8" s="3">
        <v>46179</v>
      </c>
      <c r="O8" s="3">
        <v>46179</v>
      </c>
      <c r="P8" s="3">
        <v>46180</v>
      </c>
      <c r="Q8" s="3">
        <v>46182</v>
      </c>
      <c r="R8" s="3">
        <v>46183</v>
      </c>
      <c r="S8" s="2">
        <v>0</v>
      </c>
      <c r="T8" s="2">
        <v>0</v>
      </c>
      <c r="U8" s="2">
        <v>1</v>
      </c>
      <c r="V8" s="2">
        <v>2</v>
      </c>
      <c r="W8" s="2">
        <v>1</v>
      </c>
      <c r="X8" s="2">
        <v>16</v>
      </c>
      <c r="Y8" s="2"/>
      <c r="Z8" s="2">
        <v>4</v>
      </c>
      <c r="AA8" s="6" t="s">
        <v>37</v>
      </c>
      <c r="AB8" s="2"/>
      <c r="AC8" s="2" t="s">
        <v>38</v>
      </c>
    </row>
    <row r="9" spans="1:29" x14ac:dyDescent="0.3">
      <c r="A9" s="2">
        <v>5</v>
      </c>
      <c r="B9" s="2" t="s">
        <v>52</v>
      </c>
      <c r="C9" s="3">
        <v>46146</v>
      </c>
      <c r="D9" s="3"/>
      <c r="E9" s="2" t="s">
        <v>34</v>
      </c>
      <c r="F9" s="2" t="s">
        <v>53</v>
      </c>
      <c r="G9" s="2">
        <v>2019</v>
      </c>
      <c r="H9" s="5" t="s">
        <v>36</v>
      </c>
      <c r="I9" s="2"/>
      <c r="J9" s="6" t="s">
        <v>54</v>
      </c>
      <c r="K9" s="6">
        <v>14</v>
      </c>
      <c r="L9" s="3"/>
      <c r="M9" s="3"/>
      <c r="N9" s="3"/>
      <c r="O9" s="3"/>
      <c r="P9" s="3"/>
      <c r="Q9" s="3"/>
      <c r="R9" s="3"/>
      <c r="S9" s="2"/>
      <c r="T9" s="2"/>
      <c r="U9" s="2"/>
      <c r="V9" s="2"/>
      <c r="W9" s="2"/>
      <c r="X9" s="2"/>
      <c r="Y9" s="2"/>
      <c r="Z9" s="2"/>
      <c r="AA9" s="6" t="s">
        <v>37</v>
      </c>
      <c r="AB9" s="2"/>
      <c r="AC9" s="2" t="s">
        <v>38</v>
      </c>
    </row>
    <row r="10" spans="1:29" x14ac:dyDescent="0.3">
      <c r="A10" s="2">
        <v>6</v>
      </c>
      <c r="B10" s="2" t="s">
        <v>55</v>
      </c>
      <c r="C10" s="3">
        <v>46143</v>
      </c>
      <c r="D10" s="3"/>
      <c r="E10" s="2" t="s">
        <v>49</v>
      </c>
      <c r="F10" s="2" t="s">
        <v>50</v>
      </c>
      <c r="G10" s="2">
        <v>2019</v>
      </c>
      <c r="H10" s="7" t="s">
        <v>45</v>
      </c>
      <c r="I10" s="2" t="s">
        <v>56</v>
      </c>
      <c r="J10" s="2"/>
      <c r="K10" s="2"/>
      <c r="L10" s="3">
        <v>46146</v>
      </c>
      <c r="M10" s="3">
        <v>46150</v>
      </c>
      <c r="N10" s="3">
        <v>46154</v>
      </c>
      <c r="O10" s="3">
        <v>46157</v>
      </c>
      <c r="P10" s="3"/>
      <c r="Q10" s="3"/>
      <c r="R10" s="3">
        <v>46169</v>
      </c>
      <c r="S10" s="2">
        <v>4</v>
      </c>
      <c r="T10" s="2">
        <v>3</v>
      </c>
      <c r="U10" s="2">
        <v>5</v>
      </c>
      <c r="V10" s="2"/>
      <c r="W10" s="2"/>
      <c r="X10" s="2">
        <v>26</v>
      </c>
      <c r="Y10" s="2"/>
      <c r="Z10" s="2">
        <v>18</v>
      </c>
      <c r="AA10" s="6" t="s">
        <v>37</v>
      </c>
      <c r="AB10" s="2"/>
      <c r="AC10" s="2" t="s">
        <v>38</v>
      </c>
    </row>
    <row r="11" spans="1:29" x14ac:dyDescent="0.3">
      <c r="A11" s="2">
        <v>7</v>
      </c>
      <c r="B11" s="2" t="s">
        <v>57</v>
      </c>
      <c r="C11" s="3">
        <v>46153</v>
      </c>
      <c r="D11" s="3"/>
      <c r="E11" s="2" t="s">
        <v>43</v>
      </c>
      <c r="F11" s="2" t="s">
        <v>44</v>
      </c>
      <c r="G11" s="2">
        <v>2017</v>
      </c>
      <c r="H11" s="7" t="s">
        <v>45</v>
      </c>
      <c r="I11" s="2" t="s">
        <v>58</v>
      </c>
      <c r="J11" s="2"/>
      <c r="K11" s="2"/>
      <c r="L11" s="3">
        <v>46182</v>
      </c>
      <c r="M11" s="3">
        <v>46182</v>
      </c>
      <c r="N11" s="3">
        <v>46182</v>
      </c>
      <c r="O11" s="3">
        <v>46182</v>
      </c>
      <c r="P11" s="3"/>
      <c r="Q11" s="3"/>
      <c r="R11" s="3">
        <v>46182</v>
      </c>
      <c r="S11" s="2">
        <v>0</v>
      </c>
      <c r="T11" s="2">
        <v>0</v>
      </c>
      <c r="U11" s="2">
        <v>0</v>
      </c>
      <c r="V11" s="2"/>
      <c r="W11" s="2"/>
      <c r="X11" s="2">
        <v>29</v>
      </c>
      <c r="Y11" s="2"/>
      <c r="Z11" s="2">
        <v>5</v>
      </c>
      <c r="AA11" s="6" t="s">
        <v>37</v>
      </c>
      <c r="AB11" s="2"/>
      <c r="AC11" s="2" t="s">
        <v>38</v>
      </c>
    </row>
    <row r="12" spans="1:29" x14ac:dyDescent="0.3">
      <c r="A12" s="2">
        <v>8</v>
      </c>
      <c r="B12" s="2" t="s">
        <v>59</v>
      </c>
      <c r="C12" s="3">
        <v>46162</v>
      </c>
      <c r="D12" s="3"/>
      <c r="E12" s="2" t="s">
        <v>49</v>
      </c>
      <c r="F12" s="2" t="s">
        <v>50</v>
      </c>
      <c r="G12" s="2">
        <v>2017</v>
      </c>
      <c r="H12" s="4" t="s">
        <v>21</v>
      </c>
      <c r="I12" s="2"/>
      <c r="J12" s="2"/>
      <c r="K12" s="2"/>
      <c r="L12" s="3">
        <v>46182</v>
      </c>
      <c r="M12" s="3">
        <v>46182</v>
      </c>
      <c r="N12" s="3">
        <v>46182</v>
      </c>
      <c r="O12" s="3">
        <v>46182</v>
      </c>
      <c r="P12" s="3"/>
      <c r="Q12" s="3"/>
      <c r="R12" s="3">
        <v>46182</v>
      </c>
      <c r="S12" s="2">
        <v>0</v>
      </c>
      <c r="T12" s="2">
        <v>0</v>
      </c>
      <c r="U12" s="2">
        <v>0</v>
      </c>
      <c r="V12" s="2"/>
      <c r="W12" s="2"/>
      <c r="X12" s="2">
        <v>20</v>
      </c>
      <c r="Y12" s="2"/>
      <c r="Z12" s="2">
        <v>5</v>
      </c>
      <c r="AA12" s="6" t="s">
        <v>37</v>
      </c>
      <c r="AB12" s="2"/>
      <c r="AC12" s="2" t="s">
        <v>38</v>
      </c>
    </row>
    <row r="13" spans="1:29" x14ac:dyDescent="0.3">
      <c r="A13" s="2">
        <v>9</v>
      </c>
      <c r="B13" s="2" t="s">
        <v>60</v>
      </c>
      <c r="C13" s="3">
        <v>46143</v>
      </c>
      <c r="D13" s="3">
        <v>46184</v>
      </c>
      <c r="E13" s="2" t="s">
        <v>34</v>
      </c>
      <c r="F13" s="2" t="s">
        <v>35</v>
      </c>
      <c r="G13" s="2">
        <v>2019</v>
      </c>
      <c r="H13" s="7" t="s">
        <v>45</v>
      </c>
      <c r="I13" s="2" t="s">
        <v>58</v>
      </c>
      <c r="J13" s="2"/>
      <c r="K13" s="2"/>
      <c r="L13" s="3">
        <v>46146</v>
      </c>
      <c r="M13" s="3">
        <v>46147</v>
      </c>
      <c r="N13" s="3">
        <v>46148</v>
      </c>
      <c r="O13" s="3">
        <v>46162</v>
      </c>
      <c r="P13" s="3">
        <v>46170</v>
      </c>
      <c r="Q13" s="3">
        <v>46177</v>
      </c>
      <c r="R13" s="3">
        <v>46181</v>
      </c>
      <c r="S13" s="2">
        <v>1</v>
      </c>
      <c r="T13" s="2">
        <v>14</v>
      </c>
      <c r="U13" s="2">
        <v>7</v>
      </c>
      <c r="V13" s="2">
        <v>4</v>
      </c>
      <c r="W13" s="2">
        <v>1</v>
      </c>
      <c r="X13" s="2">
        <v>38</v>
      </c>
      <c r="Y13" s="2">
        <v>41</v>
      </c>
      <c r="Z13" s="2"/>
      <c r="AA13" s="7" t="s">
        <v>61</v>
      </c>
      <c r="AB13" s="21">
        <v>46174</v>
      </c>
      <c r="AC13" s="2" t="s">
        <v>38</v>
      </c>
    </row>
    <row r="14" spans="1:29" x14ac:dyDescent="0.3">
      <c r="A14" s="2">
        <v>10</v>
      </c>
      <c r="B14" s="2" t="s">
        <v>62</v>
      </c>
      <c r="C14" s="3">
        <v>46139</v>
      </c>
      <c r="D14" s="3"/>
      <c r="E14" s="2" t="s">
        <v>49</v>
      </c>
      <c r="F14" s="2" t="s">
        <v>63</v>
      </c>
      <c r="G14" s="2">
        <v>2020</v>
      </c>
      <c r="H14" s="4" t="s">
        <v>21</v>
      </c>
      <c r="I14" s="2"/>
      <c r="J14" s="2"/>
      <c r="K14" s="2"/>
      <c r="L14" s="3">
        <v>46140</v>
      </c>
      <c r="M14" s="3">
        <v>46141</v>
      </c>
      <c r="N14" s="3">
        <v>46141</v>
      </c>
      <c r="O14" s="3">
        <v>46154</v>
      </c>
      <c r="P14" s="3">
        <v>46162</v>
      </c>
      <c r="Q14" s="3">
        <v>46165</v>
      </c>
      <c r="R14" s="3">
        <v>46183</v>
      </c>
      <c r="S14" s="2">
        <v>1</v>
      </c>
      <c r="T14" s="2">
        <v>13</v>
      </c>
      <c r="U14" s="2">
        <v>7</v>
      </c>
      <c r="V14" s="2">
        <v>11</v>
      </c>
      <c r="W14" s="2">
        <v>6</v>
      </c>
      <c r="X14" s="2">
        <v>44</v>
      </c>
      <c r="Y14" s="2"/>
      <c r="Z14" s="2">
        <v>4</v>
      </c>
      <c r="AA14" s="6" t="s">
        <v>37</v>
      </c>
      <c r="AB14" s="2"/>
      <c r="AC14" s="2" t="s">
        <v>38</v>
      </c>
    </row>
    <row r="15" spans="1:29" x14ac:dyDescent="0.3">
      <c r="A15" s="2">
        <v>11</v>
      </c>
      <c r="B15" s="2" t="s">
        <v>64</v>
      </c>
      <c r="C15" s="3">
        <v>46146</v>
      </c>
      <c r="D15" s="3"/>
      <c r="E15" s="2" t="s">
        <v>34</v>
      </c>
      <c r="F15" s="2" t="s">
        <v>35</v>
      </c>
      <c r="G15" s="2">
        <v>2020</v>
      </c>
      <c r="H15" s="4" t="s">
        <v>21</v>
      </c>
      <c r="I15" s="2"/>
      <c r="J15" s="2"/>
      <c r="K15" s="2"/>
      <c r="L15" s="3">
        <v>46147</v>
      </c>
      <c r="M15" s="3">
        <v>46148</v>
      </c>
      <c r="N15" s="3">
        <v>46148</v>
      </c>
      <c r="O15" s="3">
        <v>46157</v>
      </c>
      <c r="P15" s="3">
        <v>46164</v>
      </c>
      <c r="Q15" s="3">
        <v>46174</v>
      </c>
      <c r="R15" s="3">
        <v>46178</v>
      </c>
      <c r="S15" s="2">
        <v>1</v>
      </c>
      <c r="T15" s="2">
        <v>9</v>
      </c>
      <c r="U15" s="2">
        <v>5</v>
      </c>
      <c r="V15" s="2">
        <v>7</v>
      </c>
      <c r="W15" s="2">
        <v>4</v>
      </c>
      <c r="X15" s="2">
        <v>32</v>
      </c>
      <c r="Y15" s="2"/>
      <c r="Z15" s="2">
        <v>9</v>
      </c>
      <c r="AA15" s="6" t="s">
        <v>37</v>
      </c>
      <c r="AB15" s="2"/>
      <c r="AC15" s="2" t="s">
        <v>38</v>
      </c>
    </row>
    <row r="16" spans="1:29" x14ac:dyDescent="0.3">
      <c r="A16" s="2">
        <v>12</v>
      </c>
      <c r="B16" s="2" t="s">
        <v>65</v>
      </c>
      <c r="C16" s="3">
        <v>46146</v>
      </c>
      <c r="D16" s="3"/>
      <c r="E16" s="2" t="s">
        <v>49</v>
      </c>
      <c r="F16" s="2" t="s">
        <v>63</v>
      </c>
      <c r="G16" s="2">
        <v>2019</v>
      </c>
      <c r="H16" s="4" t="s">
        <v>21</v>
      </c>
      <c r="I16" s="2"/>
      <c r="J16" s="2"/>
      <c r="K16" s="2"/>
      <c r="L16" s="3">
        <v>46148</v>
      </c>
      <c r="M16" s="3">
        <v>46150</v>
      </c>
      <c r="N16" s="3">
        <v>46150</v>
      </c>
      <c r="O16" s="3">
        <v>46162</v>
      </c>
      <c r="P16" s="3">
        <v>46169</v>
      </c>
      <c r="Q16" s="3">
        <v>46169</v>
      </c>
      <c r="R16" s="3">
        <v>46174</v>
      </c>
      <c r="S16" s="2">
        <v>2</v>
      </c>
      <c r="T16" s="2">
        <v>12</v>
      </c>
      <c r="U16" s="2">
        <v>6</v>
      </c>
      <c r="V16" s="2">
        <v>4</v>
      </c>
      <c r="W16" s="2">
        <v>4</v>
      </c>
      <c r="X16" s="2">
        <v>28</v>
      </c>
      <c r="Y16" s="2"/>
      <c r="Z16" s="2">
        <v>13</v>
      </c>
      <c r="AA16" s="6" t="s">
        <v>37</v>
      </c>
      <c r="AB16" s="2"/>
      <c r="AC16" s="2" t="s">
        <v>38</v>
      </c>
    </row>
    <row r="17" spans="1:29" x14ac:dyDescent="0.3">
      <c r="A17" s="2">
        <v>13</v>
      </c>
      <c r="B17" s="2" t="s">
        <v>66</v>
      </c>
      <c r="C17" s="3">
        <v>46183</v>
      </c>
      <c r="D17" s="3"/>
      <c r="E17" s="2" t="s">
        <v>49</v>
      </c>
      <c r="F17" s="2" t="s">
        <v>50</v>
      </c>
      <c r="G17" s="2">
        <v>2019</v>
      </c>
      <c r="H17" s="4" t="s">
        <v>21</v>
      </c>
      <c r="I17" s="2"/>
      <c r="J17" s="2"/>
      <c r="K17" s="2"/>
      <c r="L17" s="3"/>
      <c r="M17" s="3"/>
      <c r="N17" s="3"/>
      <c r="O17" s="3"/>
      <c r="P17" s="3"/>
      <c r="Q17" s="3"/>
      <c r="R17" s="3">
        <v>46183</v>
      </c>
      <c r="S17" s="2"/>
      <c r="T17" s="2"/>
      <c r="U17" s="2"/>
      <c r="V17" s="2"/>
      <c r="W17" s="2"/>
      <c r="X17" s="2">
        <v>0</v>
      </c>
      <c r="Y17" s="2"/>
      <c r="Z17" s="2">
        <v>4</v>
      </c>
      <c r="AA17" s="6" t="s">
        <v>37</v>
      </c>
      <c r="AB17" s="2"/>
      <c r="AC17" s="2" t="s">
        <v>66</v>
      </c>
    </row>
    <row r="18" spans="1:29" x14ac:dyDescent="0.3">
      <c r="A18" s="2">
        <v>14</v>
      </c>
      <c r="B18" s="2" t="s">
        <v>67</v>
      </c>
      <c r="C18" s="3">
        <v>46183</v>
      </c>
      <c r="D18" s="3"/>
      <c r="E18" s="2" t="s">
        <v>68</v>
      </c>
      <c r="F18" s="2" t="s">
        <v>50</v>
      </c>
      <c r="G18" s="2">
        <v>2019</v>
      </c>
      <c r="H18" s="4" t="s">
        <v>21</v>
      </c>
      <c r="I18" s="2"/>
      <c r="J18" s="2"/>
      <c r="K18" s="2"/>
      <c r="L18" s="3">
        <v>46183</v>
      </c>
      <c r="M18" s="3">
        <v>46183</v>
      </c>
      <c r="N18" s="3">
        <v>46183</v>
      </c>
      <c r="O18" s="3">
        <v>46183</v>
      </c>
      <c r="P18" s="3">
        <v>46183</v>
      </c>
      <c r="Q18" s="3">
        <v>46184</v>
      </c>
      <c r="R18" s="3">
        <v>46185</v>
      </c>
      <c r="S18" s="2">
        <v>0</v>
      </c>
      <c r="T18" s="2">
        <v>0</v>
      </c>
      <c r="U18" s="2">
        <v>0</v>
      </c>
      <c r="V18" s="2">
        <v>0</v>
      </c>
      <c r="W18" s="2">
        <v>1</v>
      </c>
      <c r="X18" s="2">
        <v>2</v>
      </c>
      <c r="Y18" s="2"/>
      <c r="Z18" s="2">
        <v>2</v>
      </c>
      <c r="AA18" s="6" t="s">
        <v>37</v>
      </c>
      <c r="AB18" s="2"/>
      <c r="AC18" s="2" t="s">
        <v>38</v>
      </c>
    </row>
  </sheetData>
  <autoFilter ref="A4:AC18" xr:uid="{00000000-0009-0000-0000-000000000000}"/>
  <mergeCells count="11">
    <mergeCell ref="A2:AC2"/>
    <mergeCell ref="S3:AC3"/>
    <mergeCell ref="J3:K3"/>
    <mergeCell ref="C3:C4"/>
    <mergeCell ref="B3:B4"/>
    <mergeCell ref="A3:A4"/>
    <mergeCell ref="H3:H4"/>
    <mergeCell ref="I3:I4"/>
    <mergeCell ref="D3:D4"/>
    <mergeCell ref="L3:R3"/>
    <mergeCell ref="E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J27"/>
  <sheetViews>
    <sheetView showGridLines="0" workbookViewId="0">
      <selection activeCell="H19" sqref="H19"/>
    </sheetView>
  </sheetViews>
  <sheetFormatPr baseColWidth="10" defaultColWidth="8.88671875" defaultRowHeight="14.4" x14ac:dyDescent="0.3"/>
  <cols>
    <col min="1" max="11" width="18" customWidth="1"/>
  </cols>
  <sheetData>
    <row r="4" spans="1:10" x14ac:dyDescent="0.3">
      <c r="A4" s="8" t="s">
        <v>69</v>
      </c>
      <c r="B4" s="8" t="s">
        <v>70</v>
      </c>
      <c r="C4" s="8" t="s">
        <v>71</v>
      </c>
      <c r="D4" s="8" t="s">
        <v>72</v>
      </c>
      <c r="E4" s="8" t="s">
        <v>73</v>
      </c>
      <c r="F4" s="8" t="s">
        <v>74</v>
      </c>
      <c r="G4" s="8" t="s">
        <v>75</v>
      </c>
      <c r="H4" s="8" t="s">
        <v>76</v>
      </c>
      <c r="I4" s="8" t="s">
        <v>77</v>
      </c>
    </row>
    <row r="5" spans="1:10" x14ac:dyDescent="0.3">
      <c r="A5" s="9">
        <v>14</v>
      </c>
      <c r="B5" s="9">
        <v>10</v>
      </c>
      <c r="C5" s="9">
        <v>4</v>
      </c>
      <c r="D5" s="9">
        <v>1</v>
      </c>
      <c r="E5" s="9">
        <v>9</v>
      </c>
      <c r="F5" s="9">
        <v>41</v>
      </c>
      <c r="G5" s="9" t="s">
        <v>78</v>
      </c>
      <c r="H5" s="9" t="s">
        <v>34</v>
      </c>
      <c r="I5" s="9">
        <v>0</v>
      </c>
    </row>
    <row r="8" spans="1:10" x14ac:dyDescent="0.3">
      <c r="A8" s="17" t="s">
        <v>79</v>
      </c>
      <c r="B8" s="17"/>
      <c r="C8" s="17"/>
      <c r="H8" s="16" t="s">
        <v>80</v>
      </c>
      <c r="I8" s="16"/>
      <c r="J8" s="16"/>
    </row>
    <row r="9" spans="1:10" x14ac:dyDescent="0.3">
      <c r="A9" s="10" t="s">
        <v>81</v>
      </c>
      <c r="B9" s="10" t="s">
        <v>82</v>
      </c>
      <c r="C9" s="10" t="s">
        <v>83</v>
      </c>
      <c r="H9" s="10" t="s">
        <v>81</v>
      </c>
      <c r="I9" s="10" t="s">
        <v>82</v>
      </c>
      <c r="J9" s="10" t="s">
        <v>84</v>
      </c>
    </row>
    <row r="10" spans="1:10" x14ac:dyDescent="0.3">
      <c r="A10" s="11" t="s">
        <v>21</v>
      </c>
      <c r="B10" s="11">
        <v>9</v>
      </c>
      <c r="C10" s="12">
        <v>0.9</v>
      </c>
      <c r="H10" s="11" t="s">
        <v>21</v>
      </c>
      <c r="I10" s="11">
        <v>9</v>
      </c>
      <c r="J10" s="12">
        <v>0.6428571428571429</v>
      </c>
    </row>
    <row r="11" spans="1:10" x14ac:dyDescent="0.3">
      <c r="A11" s="11" t="s">
        <v>36</v>
      </c>
      <c r="B11" s="11">
        <v>1</v>
      </c>
      <c r="C11" s="12">
        <v>0.1</v>
      </c>
      <c r="H11" s="11" t="s">
        <v>45</v>
      </c>
      <c r="I11" s="11">
        <v>4</v>
      </c>
      <c r="J11" s="12">
        <v>0.2857142857142857</v>
      </c>
    </row>
    <row r="12" spans="1:10" x14ac:dyDescent="0.3">
      <c r="H12" s="11" t="s">
        <v>36</v>
      </c>
      <c r="I12" s="11">
        <v>1</v>
      </c>
      <c r="J12" s="12">
        <v>7.1428571428571425E-2</v>
      </c>
    </row>
    <row r="25" spans="1:6" x14ac:dyDescent="0.3">
      <c r="A25" s="18" t="s">
        <v>85</v>
      </c>
      <c r="B25" s="18"/>
      <c r="C25" s="18"/>
      <c r="D25" s="18"/>
      <c r="E25" s="18"/>
      <c r="F25" s="18"/>
    </row>
    <row r="26" spans="1:6" ht="27.6" x14ac:dyDescent="0.3">
      <c r="A26" s="10" t="s">
        <v>86</v>
      </c>
      <c r="B26" s="10" t="s">
        <v>87</v>
      </c>
      <c r="C26" s="10" t="s">
        <v>88</v>
      </c>
      <c r="D26" s="10" t="s">
        <v>89</v>
      </c>
      <c r="E26" s="10" t="s">
        <v>90</v>
      </c>
      <c r="F26" s="10" t="s">
        <v>91</v>
      </c>
    </row>
    <row r="27" spans="1:6" x14ac:dyDescent="0.3">
      <c r="A27" s="11" t="s">
        <v>92</v>
      </c>
      <c r="B27" s="11">
        <v>1</v>
      </c>
      <c r="C27" s="12">
        <v>0.25</v>
      </c>
      <c r="D27" s="11" t="s">
        <v>93</v>
      </c>
      <c r="E27" s="11" t="s">
        <v>93</v>
      </c>
      <c r="F27" s="11" t="s">
        <v>94</v>
      </c>
    </row>
  </sheetData>
  <mergeCells count="3">
    <mergeCell ref="H8:J8"/>
    <mergeCell ref="A8:C8"/>
    <mergeCell ref="A25:F2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showGridLines="0" workbookViewId="0">
      <pane ySplit="3" topLeftCell="A4" activePane="bottomLeft" state="frozen"/>
      <selection pane="bottomLeft" sqref="A1:M1"/>
    </sheetView>
  </sheetViews>
  <sheetFormatPr baseColWidth="10" defaultColWidth="8.88671875" defaultRowHeight="14.4" x14ac:dyDescent="0.3"/>
  <cols>
    <col min="1" max="13" width="16" customWidth="1"/>
  </cols>
  <sheetData>
    <row r="1" spans="1:13" ht="18" x14ac:dyDescent="0.3">
      <c r="A1" s="19" t="s">
        <v>95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3" spans="1:13" ht="27.6" x14ac:dyDescent="0.3">
      <c r="A3" s="10" t="s">
        <v>96</v>
      </c>
      <c r="B3" s="10" t="s">
        <v>97</v>
      </c>
      <c r="C3" s="10" t="s">
        <v>98</v>
      </c>
      <c r="D3" s="10" t="s">
        <v>99</v>
      </c>
      <c r="E3" s="10" t="s">
        <v>100</v>
      </c>
      <c r="F3" s="10" t="s">
        <v>101</v>
      </c>
      <c r="G3" s="10" t="s">
        <v>102</v>
      </c>
      <c r="H3" s="10" t="s">
        <v>103</v>
      </c>
      <c r="I3" s="10" t="s">
        <v>104</v>
      </c>
      <c r="J3" s="10" t="s">
        <v>105</v>
      </c>
      <c r="K3" s="10" t="s">
        <v>106</v>
      </c>
      <c r="L3" s="10" t="s">
        <v>107</v>
      </c>
      <c r="M3" s="10" t="s">
        <v>108</v>
      </c>
    </row>
    <row r="4" spans="1:13" ht="27.6" x14ac:dyDescent="0.3">
      <c r="A4" s="2" t="s">
        <v>109</v>
      </c>
      <c r="B4" s="2" t="s">
        <v>110</v>
      </c>
      <c r="C4" s="3">
        <v>46178</v>
      </c>
      <c r="D4" s="3">
        <v>46147</v>
      </c>
      <c r="E4" s="3">
        <v>46147</v>
      </c>
      <c r="F4" s="3">
        <v>46160</v>
      </c>
      <c r="G4" s="3">
        <v>46167</v>
      </c>
      <c r="H4" s="3"/>
      <c r="I4" s="3"/>
      <c r="J4" s="3">
        <v>46172</v>
      </c>
      <c r="K4" s="3"/>
      <c r="L4" s="2">
        <v>0</v>
      </c>
      <c r="M4" s="2"/>
    </row>
    <row r="5" spans="1:13" ht="27.6" x14ac:dyDescent="0.3">
      <c r="A5" s="2" t="s">
        <v>111</v>
      </c>
      <c r="B5" s="2" t="s">
        <v>112</v>
      </c>
      <c r="C5" s="3">
        <v>46174</v>
      </c>
      <c r="D5" s="3">
        <v>46179</v>
      </c>
      <c r="E5" s="3">
        <v>46175</v>
      </c>
      <c r="F5" s="3">
        <v>46176</v>
      </c>
      <c r="G5" s="3">
        <v>46179</v>
      </c>
      <c r="H5" s="3"/>
      <c r="I5" s="3"/>
      <c r="J5" s="3">
        <v>46179</v>
      </c>
      <c r="K5" s="3"/>
      <c r="L5" s="2">
        <v>5</v>
      </c>
      <c r="M5" s="2"/>
    </row>
    <row r="6" spans="1:13" ht="27.6" x14ac:dyDescent="0.3">
      <c r="A6" s="2" t="s">
        <v>113</v>
      </c>
      <c r="B6" s="2" t="s">
        <v>114</v>
      </c>
      <c r="C6" s="3">
        <v>46144</v>
      </c>
      <c r="D6" s="3">
        <v>46145</v>
      </c>
      <c r="E6" s="3">
        <v>46174</v>
      </c>
      <c r="F6" s="3">
        <v>46175</v>
      </c>
      <c r="G6" s="3">
        <v>46176</v>
      </c>
      <c r="H6" s="3"/>
      <c r="I6" s="3"/>
      <c r="J6" s="3">
        <v>46179</v>
      </c>
      <c r="K6" s="3"/>
      <c r="L6" s="2">
        <v>35</v>
      </c>
      <c r="M6" s="2"/>
    </row>
    <row r="7" spans="1:13" ht="27.6" x14ac:dyDescent="0.3">
      <c r="A7" s="2" t="s">
        <v>115</v>
      </c>
      <c r="B7" s="2" t="s">
        <v>116</v>
      </c>
      <c r="C7" s="3">
        <v>46167</v>
      </c>
      <c r="D7" s="3">
        <v>46168</v>
      </c>
      <c r="E7" s="3">
        <v>46168</v>
      </c>
      <c r="F7" s="3">
        <v>46179</v>
      </c>
      <c r="G7" s="3">
        <v>46179</v>
      </c>
      <c r="H7" s="3">
        <v>46180</v>
      </c>
      <c r="I7" s="3">
        <v>46182</v>
      </c>
      <c r="J7" s="3">
        <v>46183</v>
      </c>
      <c r="K7" s="3"/>
      <c r="L7" s="2">
        <v>16</v>
      </c>
      <c r="M7" s="2"/>
    </row>
    <row r="8" spans="1:13" ht="27.6" x14ac:dyDescent="0.3">
      <c r="A8" s="2" t="s">
        <v>117</v>
      </c>
      <c r="B8" s="2" t="s">
        <v>118</v>
      </c>
      <c r="C8" s="3">
        <v>46146</v>
      </c>
      <c r="D8" s="3"/>
      <c r="E8" s="3"/>
      <c r="F8" s="3"/>
      <c r="G8" s="3"/>
      <c r="H8" s="3"/>
      <c r="I8" s="3"/>
      <c r="J8" s="3"/>
      <c r="K8" s="3"/>
      <c r="L8" s="2"/>
      <c r="M8" s="2"/>
    </row>
    <row r="9" spans="1:13" ht="27.6" x14ac:dyDescent="0.3">
      <c r="A9" s="2" t="s">
        <v>119</v>
      </c>
      <c r="B9" s="2" t="s">
        <v>120</v>
      </c>
      <c r="C9" s="3">
        <v>46143</v>
      </c>
      <c r="D9" s="3">
        <v>46146</v>
      </c>
      <c r="E9" s="3">
        <v>46150</v>
      </c>
      <c r="F9" s="3">
        <v>46154</v>
      </c>
      <c r="G9" s="3">
        <v>46157</v>
      </c>
      <c r="H9" s="3"/>
      <c r="I9" s="3"/>
      <c r="J9" s="3">
        <v>46169</v>
      </c>
      <c r="K9" s="3"/>
      <c r="L9" s="2">
        <v>26</v>
      </c>
      <c r="M9" s="2"/>
    </row>
    <row r="10" spans="1:13" ht="27.6" x14ac:dyDescent="0.3">
      <c r="A10" s="2" t="s">
        <v>121</v>
      </c>
      <c r="B10" s="2" t="s">
        <v>122</v>
      </c>
      <c r="C10" s="3">
        <v>46153</v>
      </c>
      <c r="D10" s="3">
        <v>46182</v>
      </c>
      <c r="E10" s="3">
        <v>46182</v>
      </c>
      <c r="F10" s="3">
        <v>46182</v>
      </c>
      <c r="G10" s="3">
        <v>46182</v>
      </c>
      <c r="H10" s="3"/>
      <c r="I10" s="3"/>
      <c r="J10" s="3">
        <v>46182</v>
      </c>
      <c r="K10" s="3"/>
      <c r="L10" s="2">
        <v>29</v>
      </c>
      <c r="M10" s="2"/>
    </row>
    <row r="11" spans="1:13" ht="27.6" x14ac:dyDescent="0.3">
      <c r="A11" s="2" t="s">
        <v>123</v>
      </c>
      <c r="B11" s="2" t="s">
        <v>124</v>
      </c>
      <c r="C11" s="3">
        <v>46162</v>
      </c>
      <c r="D11" s="3">
        <v>46182</v>
      </c>
      <c r="E11" s="3">
        <v>46182</v>
      </c>
      <c r="F11" s="3">
        <v>46182</v>
      </c>
      <c r="G11" s="3">
        <v>46182</v>
      </c>
      <c r="H11" s="3"/>
      <c r="I11" s="3"/>
      <c r="J11" s="3">
        <v>46182</v>
      </c>
      <c r="K11" s="3"/>
      <c r="L11" s="2">
        <v>20</v>
      </c>
      <c r="M11" s="2"/>
    </row>
    <row r="12" spans="1:13" ht="27.6" x14ac:dyDescent="0.3">
      <c r="A12" s="2" t="s">
        <v>125</v>
      </c>
      <c r="B12" s="2" t="s">
        <v>126</v>
      </c>
      <c r="C12" s="3">
        <v>46143</v>
      </c>
      <c r="D12" s="3">
        <v>46146</v>
      </c>
      <c r="E12" s="3">
        <v>46147</v>
      </c>
      <c r="F12" s="3">
        <v>46148</v>
      </c>
      <c r="G12" s="3">
        <v>46162</v>
      </c>
      <c r="H12" s="3">
        <v>46170</v>
      </c>
      <c r="I12" s="3">
        <v>46177</v>
      </c>
      <c r="J12" s="3">
        <v>46181</v>
      </c>
      <c r="K12" s="3">
        <v>46184</v>
      </c>
      <c r="L12" s="2">
        <v>38</v>
      </c>
      <c r="M12" s="2">
        <v>41</v>
      </c>
    </row>
    <row r="13" spans="1:13" ht="27.6" x14ac:dyDescent="0.3">
      <c r="A13" s="2" t="s">
        <v>127</v>
      </c>
      <c r="B13" s="2" t="s">
        <v>128</v>
      </c>
      <c r="C13" s="3">
        <v>46139</v>
      </c>
      <c r="D13" s="3">
        <v>46140</v>
      </c>
      <c r="E13" s="3">
        <v>46141</v>
      </c>
      <c r="F13" s="3">
        <v>46141</v>
      </c>
      <c r="G13" s="3">
        <v>46154</v>
      </c>
      <c r="H13" s="3">
        <v>46162</v>
      </c>
      <c r="I13" s="3">
        <v>46165</v>
      </c>
      <c r="J13" s="3">
        <v>46183</v>
      </c>
      <c r="K13" s="3"/>
      <c r="L13" s="2">
        <v>44</v>
      </c>
      <c r="M13" s="2"/>
    </row>
    <row r="14" spans="1:13" ht="27.6" x14ac:dyDescent="0.3">
      <c r="A14" s="2" t="s">
        <v>129</v>
      </c>
      <c r="B14" s="2" t="s">
        <v>130</v>
      </c>
      <c r="C14" s="3">
        <v>46146</v>
      </c>
      <c r="D14" s="3">
        <v>46147</v>
      </c>
      <c r="E14" s="3">
        <v>46148</v>
      </c>
      <c r="F14" s="3">
        <v>46148</v>
      </c>
      <c r="G14" s="3">
        <v>46157</v>
      </c>
      <c r="H14" s="3">
        <v>46164</v>
      </c>
      <c r="I14" s="3">
        <v>46174</v>
      </c>
      <c r="J14" s="3">
        <v>46178</v>
      </c>
      <c r="K14" s="3"/>
      <c r="L14" s="2">
        <v>32</v>
      </c>
      <c r="M14" s="2"/>
    </row>
    <row r="15" spans="1:13" ht="27.6" x14ac:dyDescent="0.3">
      <c r="A15" s="2" t="s">
        <v>131</v>
      </c>
      <c r="B15" s="2" t="s">
        <v>132</v>
      </c>
      <c r="C15" s="3">
        <v>46146</v>
      </c>
      <c r="D15" s="3">
        <v>46148</v>
      </c>
      <c r="E15" s="3">
        <v>46150</v>
      </c>
      <c r="F15" s="3">
        <v>46150</v>
      </c>
      <c r="G15" s="3">
        <v>46162</v>
      </c>
      <c r="H15" s="3">
        <v>46169</v>
      </c>
      <c r="I15" s="3">
        <v>46169</v>
      </c>
      <c r="J15" s="3">
        <v>46174</v>
      </c>
      <c r="K15" s="3"/>
      <c r="L15" s="2">
        <v>28</v>
      </c>
      <c r="M15" s="2"/>
    </row>
    <row r="16" spans="1:13" ht="27.6" x14ac:dyDescent="0.3">
      <c r="A16" s="2" t="s">
        <v>133</v>
      </c>
      <c r="B16" s="2" t="s">
        <v>120</v>
      </c>
      <c r="C16" s="3">
        <v>46183</v>
      </c>
      <c r="D16" s="3"/>
      <c r="E16" s="3"/>
      <c r="F16" s="3"/>
      <c r="G16" s="3"/>
      <c r="H16" s="3"/>
      <c r="I16" s="3"/>
      <c r="J16" s="3">
        <v>46183</v>
      </c>
      <c r="K16" s="3"/>
      <c r="L16" s="2">
        <v>0</v>
      </c>
      <c r="M16" s="2"/>
    </row>
    <row r="17" spans="1:13" ht="27.6" x14ac:dyDescent="0.3">
      <c r="A17" s="2" t="s">
        <v>134</v>
      </c>
      <c r="B17" s="2" t="s">
        <v>135</v>
      </c>
      <c r="C17" s="3">
        <v>46183</v>
      </c>
      <c r="D17" s="3">
        <v>46183</v>
      </c>
      <c r="E17" s="3">
        <v>46183</v>
      </c>
      <c r="F17" s="3">
        <v>46183</v>
      </c>
      <c r="G17" s="3">
        <v>46183</v>
      </c>
      <c r="H17" s="3">
        <v>46183</v>
      </c>
      <c r="I17" s="3">
        <v>46184</v>
      </c>
      <c r="J17" s="3">
        <v>46185</v>
      </c>
      <c r="K17" s="3"/>
      <c r="L17" s="2">
        <v>2</v>
      </c>
      <c r="M17" s="2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showGridLines="0" zoomScale="111" workbookViewId="0">
      <pane ySplit="4" topLeftCell="A5" activePane="bottomLeft" state="frozen"/>
      <selection pane="bottomLeft" activeCell="D14" sqref="D14"/>
    </sheetView>
  </sheetViews>
  <sheetFormatPr baseColWidth="10" defaultColWidth="8.88671875" defaultRowHeight="14.4" x14ac:dyDescent="0.3"/>
  <cols>
    <col min="1" max="12" width="18" customWidth="1"/>
  </cols>
  <sheetData>
    <row r="1" spans="1:12" ht="18" x14ac:dyDescent="0.3">
      <c r="A1" s="19" t="s">
        <v>136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3">
      <c r="A2" s="20" t="s">
        <v>137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27.6" x14ac:dyDescent="0.3">
      <c r="A4" s="10" t="s">
        <v>138</v>
      </c>
      <c r="B4" s="10" t="s">
        <v>139</v>
      </c>
      <c r="C4" s="10" t="s">
        <v>140</v>
      </c>
      <c r="D4" s="10" t="s">
        <v>73</v>
      </c>
      <c r="E4" s="10" t="s">
        <v>141</v>
      </c>
      <c r="F4" s="10" t="s">
        <v>142</v>
      </c>
      <c r="G4" s="10" t="s">
        <v>143</v>
      </c>
      <c r="H4" s="10" t="s">
        <v>144</v>
      </c>
      <c r="I4" s="10" t="s">
        <v>145</v>
      </c>
    </row>
    <row r="5" spans="1:12" x14ac:dyDescent="0.3">
      <c r="A5" s="2" t="s">
        <v>146</v>
      </c>
      <c r="B5" s="3">
        <v>46139</v>
      </c>
      <c r="C5" s="3">
        <v>46145</v>
      </c>
      <c r="D5" s="2">
        <v>0</v>
      </c>
      <c r="E5" s="2">
        <v>0</v>
      </c>
      <c r="F5" s="13">
        <v>0</v>
      </c>
      <c r="G5" s="13">
        <v>0</v>
      </c>
      <c r="H5" s="2"/>
      <c r="I5" s="2"/>
    </row>
    <row r="6" spans="1:12" x14ac:dyDescent="0.3">
      <c r="A6" s="2" t="s">
        <v>147</v>
      </c>
      <c r="B6" s="3">
        <v>46146</v>
      </c>
      <c r="C6" s="3">
        <v>46152</v>
      </c>
      <c r="D6" s="2">
        <v>0</v>
      </c>
      <c r="E6" s="2">
        <v>0</v>
      </c>
      <c r="F6" s="13">
        <v>0</v>
      </c>
      <c r="G6" s="13">
        <v>0</v>
      </c>
      <c r="H6" s="2"/>
      <c r="I6" s="2"/>
    </row>
    <row r="7" spans="1:12" x14ac:dyDescent="0.3">
      <c r="A7" s="2" t="s">
        <v>148</v>
      </c>
      <c r="B7" s="3">
        <v>46153</v>
      </c>
      <c r="C7" s="3">
        <v>46159</v>
      </c>
      <c r="D7" s="2">
        <v>0</v>
      </c>
      <c r="E7" s="2">
        <v>0</v>
      </c>
      <c r="F7" s="13">
        <v>0</v>
      </c>
      <c r="G7" s="13">
        <v>0</v>
      </c>
      <c r="H7" s="2"/>
      <c r="I7" s="2"/>
    </row>
    <row r="8" spans="1:12" x14ac:dyDescent="0.3">
      <c r="A8" s="2" t="s">
        <v>149</v>
      </c>
      <c r="B8" s="3">
        <v>46160</v>
      </c>
      <c r="C8" s="3">
        <v>46166</v>
      </c>
      <c r="D8" s="2">
        <v>0</v>
      </c>
      <c r="E8" s="2">
        <v>0</v>
      </c>
      <c r="F8" s="13">
        <v>0</v>
      </c>
      <c r="G8" s="13">
        <v>0</v>
      </c>
      <c r="H8" s="2"/>
      <c r="I8" s="2"/>
    </row>
    <row r="9" spans="1:12" x14ac:dyDescent="0.3">
      <c r="A9" s="2" t="s">
        <v>150</v>
      </c>
      <c r="B9" s="3">
        <v>46167</v>
      </c>
      <c r="C9" s="3">
        <v>46173</v>
      </c>
      <c r="D9" s="2">
        <v>2</v>
      </c>
      <c r="E9" s="2">
        <v>0</v>
      </c>
      <c r="F9" s="13">
        <v>14000</v>
      </c>
      <c r="G9" s="13">
        <v>1068.96</v>
      </c>
      <c r="H9" s="2" t="s">
        <v>151</v>
      </c>
      <c r="I9" s="2"/>
    </row>
    <row r="10" spans="1:12" ht="41.4" x14ac:dyDescent="0.3">
      <c r="A10" s="2" t="s">
        <v>152</v>
      </c>
      <c r="B10" s="3">
        <v>46174</v>
      </c>
      <c r="C10" s="3">
        <v>46180</v>
      </c>
      <c r="D10" s="2">
        <v>6</v>
      </c>
      <c r="E10" s="2">
        <v>0</v>
      </c>
      <c r="F10" s="13">
        <v>39256.769999999997</v>
      </c>
      <c r="G10" s="13">
        <v>6231.73</v>
      </c>
      <c r="H10" s="2" t="s">
        <v>153</v>
      </c>
      <c r="I10" s="2"/>
    </row>
    <row r="11" spans="1:12" ht="55.2" x14ac:dyDescent="0.3">
      <c r="A11" s="2" t="s">
        <v>154</v>
      </c>
      <c r="B11" s="3">
        <v>46181</v>
      </c>
      <c r="C11" s="3">
        <v>46187</v>
      </c>
      <c r="D11" s="2">
        <v>13</v>
      </c>
      <c r="E11" s="2">
        <v>1</v>
      </c>
      <c r="F11" s="13">
        <v>77986</v>
      </c>
      <c r="G11" s="13">
        <v>15200.17</v>
      </c>
      <c r="H11" s="2" t="s">
        <v>155</v>
      </c>
      <c r="I11" s="2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 General</vt:lpstr>
      <vt:lpstr>Dashboard Gerencial</vt:lpstr>
      <vt:lpstr>Reportes Detalle</vt:lpstr>
      <vt:lpstr>Historial Disponible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Guardado</cp:lastModifiedBy>
  <dcterms:created xsi:type="dcterms:W3CDTF">2026-06-14T14:59:20Z</dcterms:created>
  <dcterms:modified xsi:type="dcterms:W3CDTF">2026-06-14T15:04:28Z</dcterms:modified>
</cp:coreProperties>
</file>