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42" firstSheet="0" activeTab="1" autoFilterDateGrouping="1"/>
  </bookViews>
  <sheets>
    <sheet xmlns:r="http://schemas.openxmlformats.org/officeDocument/2006/relationships" name="COPART INC" sheetId="1" state="visible" r:id="rId1"/>
    <sheet xmlns:r="http://schemas.openxmlformats.org/officeDocument/2006/relationships" name="COSTO" sheetId="2" state="visible" r:id="rId2"/>
  </sheets>
  <definedNames>
    <definedName name="_xlnm._FilterDatabase" localSheetId="0" hidden="1">'COPART INC'!$A$4:$B$16</definedName>
    <definedName name="_xlnm._FilterDatabase" localSheetId="1" hidden="1">'COSTO'!$A$4:$D$16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&quot;$&quot;* #,##0.00_-;\-&quot;$&quot;* #,##0.00_-;_-&quot;$&quot;* &quot;-&quot;??_-;_-@_-"/>
    <numFmt numFmtId="165" formatCode="_(&quot;$&quot;* #,##0.00_);_(&quot;$&quot;* \(#,##0.00\);_(&quot;$&quot;* &quot;-&quot;??_);_(@_)"/>
    <numFmt numFmtId="166" formatCode="dd/mm/yyyy"/>
    <numFmt numFmtId="167" formatCode="$#,##0.00"/>
  </numFmts>
  <fonts count="6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 Light"/>
      <family val="2"/>
      <b val="1"/>
      <color theme="3"/>
      <sz val="18"/>
      <scheme val="major"/>
    </font>
    <font>
      <name val="Calibri"/>
      <family val="2"/>
      <color rgb="FF9C6500"/>
      <sz val="11"/>
      <scheme val="minor"/>
    </font>
    <font>
      <name val="Arial"/>
      <family val="2"/>
      <sz val="10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color theme="1"/>
      <sz val="10"/>
    </font>
    <font>
      <name val="Times New Roman"/>
      <family val="1"/>
      <b val="1"/>
      <color theme="1"/>
      <sz val="14"/>
    </font>
    <font>
      <name val="Times New Roman"/>
      <family val="1"/>
      <sz val="12"/>
    </font>
    <font>
      <name val="Times New Roman"/>
      <family val="1"/>
      <color rgb="FFFF0000"/>
      <sz val="12"/>
    </font>
    <font>
      <name val="Times New Roman"/>
      <family val="1"/>
      <b val="1"/>
      <sz val="12"/>
    </font>
    <font>
      <name val="Times New Roman"/>
      <family val="1"/>
      <b val="1"/>
      <color theme="0"/>
      <sz val="10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Times New Roman"/>
      <family val="1"/>
      <b val="1"/>
      <color theme="1"/>
      <sz val="14"/>
      <u val="single"/>
    </font>
    <font>
      <name val="Times New Roman"/>
      <family val="1"/>
      <color theme="1"/>
      <sz val="14"/>
    </font>
    <font>
      <name val="Times New Roman"/>
      <family val="1"/>
      <b val="1"/>
      <color theme="0"/>
      <sz val="16"/>
    </font>
    <font>
      <name val="Times New Roman"/>
      <family val="1"/>
      <b val="1"/>
      <color theme="1"/>
      <sz val="16"/>
    </font>
    <font>
      <name val="Times New Roman"/>
      <family val="1"/>
      <color theme="1"/>
      <sz val="16"/>
    </font>
    <font>
      <name val="Times New Roman"/>
      <family val="1"/>
      <sz val="28"/>
    </font>
    <font>
      <name val="Times New Roman"/>
      <family val="1"/>
      <b val="1"/>
      <sz val="28"/>
    </font>
    <font>
      <name val="Times New Roman"/>
      <family val="1"/>
      <b val="1"/>
      <color theme="1"/>
      <sz val="12"/>
    </font>
    <font>
      <name val="Times New Roman"/>
      <family val="1"/>
      <color rgb="FFFF0000"/>
      <sz val="11"/>
    </font>
    <font>
      <name val="Times New Roman"/>
      <family val="1"/>
      <b val="1"/>
      <i val="1"/>
      <color theme="0"/>
      <sz val="10"/>
    </font>
    <font>
      <name val="Times New Roman"/>
      <family val="1"/>
      <b val="1"/>
      <color theme="1"/>
      <sz val="11"/>
    </font>
    <font>
      <name val="Times New Roman"/>
      <family val="1"/>
      <color theme="0"/>
      <sz val="16"/>
    </font>
    <font>
      <name val="Times New Roman"/>
      <family val="1"/>
      <color theme="0"/>
      <sz val="10"/>
    </font>
    <font>
      <name val="Times New Roman"/>
      <family val="1"/>
      <i val="1"/>
      <color theme="0"/>
      <sz val="10"/>
    </font>
    <font>
      <name val="Times New Roman"/>
      <family val="1"/>
      <color theme="1"/>
      <sz val="14"/>
      <u val="single"/>
    </font>
    <font>
      <name val="Times New Roman"/>
      <family val="1"/>
      <color rgb="FF00B0F0"/>
      <sz val="12"/>
    </font>
    <font>
      <name val="Times New Roman"/>
      <family val="1"/>
      <color rgb="FF00B0F0"/>
      <sz val="11"/>
    </font>
    <font>
      <name val="Times New Roman"/>
      <family val="1"/>
      <b val="1"/>
      <color rgb="FF00B0F0"/>
      <sz val="11"/>
    </font>
    <font>
      <name val="Times New Roman"/>
      <family val="1"/>
      <sz val="11"/>
    </font>
    <font>
      <name val="Times New Roman"/>
      <family val="1"/>
      <b val="1"/>
      <sz val="11"/>
    </font>
    <font>
      <name val="Times New Roman"/>
      <family val="1"/>
      <color theme="5" tint="-0.249977111117893"/>
      <sz val="12"/>
    </font>
    <font>
      <name val="Times New Roman"/>
      <family val="1"/>
      <color theme="5" tint="-0.249977111117893"/>
      <sz val="11"/>
    </font>
    <font>
      <name val="Times New Roman"/>
      <family val="1"/>
      <color theme="0"/>
      <sz val="18"/>
    </font>
    <font>
      <name val="Times New Roman"/>
      <family val="1"/>
      <color theme="0"/>
      <sz val="11"/>
    </font>
    <font>
      <name val="Times New Roman"/>
      <family val="1"/>
      <b val="1"/>
      <color rgb="FFFF0000"/>
      <sz val="11"/>
    </font>
    <font>
      <name val="Times New Roman"/>
      <family val="1"/>
      <b val="1"/>
      <color theme="0"/>
      <sz val="11"/>
    </font>
    <font>
      <name val="Times New Roman"/>
      <family val="1"/>
      <b val="1"/>
      <color theme="0"/>
      <sz val="12"/>
    </font>
    <font>
      <name val="Times New Roman"/>
      <family val="1"/>
      <b val="1"/>
      <color theme="0"/>
      <sz val="14"/>
    </font>
    <font>
      <name val="Times New Roman"/>
      <family val="1"/>
      <color rgb="FFC00000"/>
      <sz val="12"/>
    </font>
    <font>
      <name val="Times New Roman"/>
      <family val="1"/>
      <b val="1"/>
      <color rgb="FFC00000"/>
      <sz val="12"/>
    </font>
    <font>
      <name val="Times New Roman"/>
      <family val="1"/>
      <color rgb="FFC00000"/>
      <sz val="11"/>
    </font>
    <font>
      <name val="Times New Roman"/>
      <family val="1"/>
      <b val="1"/>
      <color rgb="FFC00000"/>
      <sz val="11"/>
    </font>
    <font>
      <name val="Times New Roman"/>
      <family val="1"/>
      <b val="1"/>
      <color theme="0"/>
      <sz val="18"/>
    </font>
    <font>
      <name val="Arial"/>
      <family val="2"/>
      <b val="1"/>
      <color rgb="FF000066"/>
      <sz val="16"/>
    </font>
    <font>
      <name val="Times New Roman"/>
      <family val="1"/>
      <color theme="4" tint="-0.499984740745262"/>
      <sz val="12"/>
    </font>
    <font>
      <name val="Times New Roman"/>
      <family val="1"/>
      <b val="1"/>
      <color theme="4" tint="-0.499984740745262"/>
      <sz val="12"/>
    </font>
    <font>
      <name val="Times New Roman"/>
      <family val="1"/>
      <color theme="4" tint="-0.499984740745262"/>
      <sz val="11"/>
    </font>
    <font>
      <name val="Times New Roman"/>
      <family val="1"/>
      <b val="1"/>
      <color theme="4" tint="-0.499984740745262"/>
      <sz val="11"/>
    </font>
    <font>
      <name val="Times New Roman"/>
      <family val="1"/>
      <color theme="4" tint="-0.499984740745262"/>
      <sz val="10"/>
    </font>
  </fonts>
  <fills count="6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9">
    <xf numFmtId="0" fontId="1" fillId="0" borderId="0"/>
    <xf numFmtId="44" fontId="1" fillId="0" borderId="0"/>
    <xf numFmtId="44" fontId="1" fillId="0" borderId="0"/>
    <xf numFmtId="0" fontId="5" fillId="0" borderId="5"/>
    <xf numFmtId="0" fontId="6" fillId="0" borderId="6"/>
    <xf numFmtId="0" fontId="7" fillId="0" borderId="7"/>
    <xf numFmtId="0" fontId="7" fillId="0" borderId="0"/>
    <xf numFmtId="0" fontId="8" fillId="4" borderId="0"/>
    <xf numFmtId="0" fontId="9" fillId="5" borderId="0"/>
    <xf numFmtId="0" fontId="10" fillId="7" borderId="8"/>
    <xf numFmtId="0" fontId="11" fillId="8" borderId="9"/>
    <xf numFmtId="0" fontId="12" fillId="8" borderId="8"/>
    <xf numFmtId="0" fontId="13" fillId="0" borderId="10"/>
    <xf numFmtId="0" fontId="14" fillId="9" borderId="11"/>
    <xf numFmtId="0" fontId="2" fillId="0" borderId="0"/>
    <xf numFmtId="0" fontId="1" fillId="10" borderId="12"/>
    <xf numFmtId="0" fontId="15" fillId="0" borderId="0"/>
    <xf numFmtId="0" fontId="3" fillId="0" borderId="13"/>
    <xf numFmtId="0" fontId="4" fillId="11" borderId="0"/>
    <xf numFmtId="0" fontId="1" fillId="12" borderId="0"/>
    <xf numFmtId="0" fontId="1" fillId="13" borderId="0"/>
    <xf numFmtId="0" fontId="4" fillId="15" borderId="0"/>
    <xf numFmtId="0" fontId="1" fillId="16" borderId="0"/>
    <xf numFmtId="0" fontId="1" fillId="17" borderId="0"/>
    <xf numFmtId="0" fontId="4" fillId="19" borderId="0"/>
    <xf numFmtId="0" fontId="1" fillId="20" borderId="0"/>
    <xf numFmtId="0" fontId="1" fillId="21" borderId="0"/>
    <xf numFmtId="0" fontId="4" fillId="23" borderId="0"/>
    <xf numFmtId="0" fontId="1" fillId="24" borderId="0"/>
    <xf numFmtId="0" fontId="1" fillId="25" borderId="0"/>
    <xf numFmtId="0" fontId="4" fillId="27" borderId="0"/>
    <xf numFmtId="0" fontId="1" fillId="28" borderId="0"/>
    <xf numFmtId="0" fontId="1" fillId="29" borderId="0"/>
    <xf numFmtId="0" fontId="4" fillId="31" borderId="0"/>
    <xf numFmtId="0" fontId="1" fillId="32" borderId="0"/>
    <xf numFmtId="0" fontId="1" fillId="33" borderId="0"/>
    <xf numFmtId="0" fontId="16" fillId="0" borderId="0"/>
    <xf numFmtId="0" fontId="17" fillId="6" borderId="0"/>
    <xf numFmtId="0" fontId="4" fillId="14" borderId="0"/>
    <xf numFmtId="0" fontId="4" fillId="18" borderId="0"/>
    <xf numFmtId="0" fontId="4" fillId="22" borderId="0"/>
    <xf numFmtId="0" fontId="4" fillId="26" borderId="0"/>
    <xf numFmtId="0" fontId="4" fillId="30" borderId="0"/>
    <xf numFmtId="0" fontId="4" fillId="34" borderId="0"/>
    <xf numFmtId="0" fontId="18" fillId="0" borderId="0"/>
    <xf numFmtId="0" fontId="18" fillId="0" borderId="0"/>
    <xf numFmtId="165" fontId="18" fillId="0" borderId="0"/>
    <xf numFmtId="165" fontId="18" fillId="0" borderId="0"/>
    <xf numFmtId="0" fontId="18" fillId="0" borderId="0"/>
  </cellStyleXfs>
  <cellXfs count="653">
    <xf numFmtId="0" fontId="0" fillId="0" borderId="0" pivotButton="0" quotePrefix="0" xfId="0"/>
    <xf numFmtId="0" fontId="19" fillId="0" borderId="0" pivotButton="0" quotePrefix="0" xfId="0"/>
    <xf numFmtId="0" fontId="21" fillId="0" borderId="3" applyAlignment="1" pivotButton="0" quotePrefix="0" xfId="0">
      <alignment vertical="center"/>
    </xf>
    <xf numFmtId="164" fontId="19" fillId="0" borderId="2" pivotButton="0" quotePrefix="0" xfId="1"/>
    <xf numFmtId="0" fontId="19" fillId="0" borderId="2" pivotButton="0" quotePrefix="0" xfId="0"/>
    <xf numFmtId="14" fontId="23" fillId="0" borderId="2" applyAlignment="1" pivotButton="0" quotePrefix="0" xfId="0">
      <alignment horizontal="left" vertical="center" wrapText="1"/>
    </xf>
    <xf numFmtId="0" fontId="23" fillId="0" borderId="2" applyAlignment="1" pivotButton="0" quotePrefix="0" xfId="0">
      <alignment horizontal="left" vertical="center" wrapText="1"/>
    </xf>
    <xf numFmtId="0" fontId="23" fillId="0" borderId="2" applyAlignment="1" pivotButton="0" quotePrefix="0" xfId="45">
      <alignment horizontal="left" vertical="center" wrapText="1"/>
    </xf>
    <xf numFmtId="0" fontId="23" fillId="0" borderId="2" applyAlignment="1" pivotButton="0" quotePrefix="0" xfId="45">
      <alignment vertical="center" wrapText="1"/>
    </xf>
    <xf numFmtId="0" fontId="23" fillId="0" borderId="2" applyAlignment="1" pivotButton="0" quotePrefix="0" xfId="45">
      <alignment horizontal="center" vertical="center" wrapText="1"/>
    </xf>
    <xf numFmtId="0" fontId="23" fillId="0" borderId="2" applyAlignment="1" pivotButton="0" quotePrefix="0" xfId="0">
      <alignment horizontal="center" vertical="center" wrapText="1"/>
    </xf>
    <xf numFmtId="165" fontId="24" fillId="0" borderId="2" applyAlignment="1" pivotButton="0" quotePrefix="0" xfId="46">
      <alignment horizontal="left" vertical="center"/>
    </xf>
    <xf numFmtId="14" fontId="23" fillId="0" borderId="2" applyAlignment="1" pivotButton="0" quotePrefix="0" xfId="46">
      <alignment horizontal="left" vertical="center"/>
    </xf>
    <xf numFmtId="165" fontId="20" fillId="0" borderId="2" applyAlignment="1" pivotButton="0" quotePrefix="0" xfId="46">
      <alignment horizontal="left" vertical="center"/>
    </xf>
    <xf numFmtId="14" fontId="24" fillId="0" borderId="2" applyAlignment="1" pivotButton="0" quotePrefix="0" xfId="0">
      <alignment horizontal="center" vertical="center"/>
    </xf>
    <xf numFmtId="0" fontId="24" fillId="0" borderId="2" applyAlignment="1" pivotButton="0" quotePrefix="0" xfId="0">
      <alignment horizontal="center" vertical="center"/>
    </xf>
    <xf numFmtId="0" fontId="24" fillId="0" borderId="2" applyAlignment="1" pivotButton="0" quotePrefix="0" xfId="0">
      <alignment horizontal="left" vertical="center" wrapText="1"/>
    </xf>
    <xf numFmtId="0" fontId="24" fillId="0" borderId="2" applyAlignment="1" pivotButton="0" quotePrefix="0" xfId="45">
      <alignment vertical="center" wrapText="1"/>
    </xf>
    <xf numFmtId="0" fontId="24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45">
      <alignment horizontal="center" vertical="center" wrapText="1"/>
    </xf>
    <xf numFmtId="164" fontId="24" fillId="0" borderId="2" applyAlignment="1" pivotButton="0" quotePrefix="0" xfId="48">
      <alignment vertical="center"/>
    </xf>
    <xf numFmtId="0" fontId="19" fillId="0" borderId="0" applyAlignment="1" pivotButton="0" quotePrefix="0" xfId="0">
      <alignment horizontal="center"/>
    </xf>
    <xf numFmtId="0" fontId="33" fillId="0" borderId="0" pivotButton="0" quotePrefix="0" xfId="0"/>
    <xf numFmtId="0" fontId="20" fillId="3" borderId="3" applyAlignment="1" pivotButton="0" quotePrefix="0" xfId="0">
      <alignment horizontal="left" vertical="center"/>
    </xf>
    <xf numFmtId="0" fontId="20" fillId="40" borderId="3" applyAlignment="1" pivotButton="0" quotePrefix="0" xfId="0">
      <alignment horizontal="left" vertical="center"/>
    </xf>
    <xf numFmtId="0" fontId="24" fillId="41" borderId="3" applyAlignment="1" pivotButton="0" quotePrefix="0" xfId="0">
      <alignment horizontal="left" vertical="center"/>
    </xf>
    <xf numFmtId="0" fontId="36" fillId="0" borderId="0" applyAlignment="1" pivotButton="0" quotePrefix="0" xfId="0">
      <alignment vertical="center"/>
    </xf>
    <xf numFmtId="0" fontId="19" fillId="0" borderId="22" pivotButton="0" quotePrefix="0" xfId="0"/>
    <xf numFmtId="164" fontId="19" fillId="0" borderId="32" pivotButton="0" quotePrefix="0" xfId="0"/>
    <xf numFmtId="0" fontId="37" fillId="0" borderId="0" pivotButton="0" quotePrefix="0" xfId="0"/>
    <xf numFmtId="0" fontId="30" fillId="0" borderId="0" pivotButton="0" quotePrefix="0" xfId="0"/>
    <xf numFmtId="0" fontId="19" fillId="45" borderId="4" pivotButton="0" quotePrefix="0" xfId="0"/>
    <xf numFmtId="0" fontId="19" fillId="45" borderId="18" applyAlignment="1" pivotButton="0" quotePrefix="0" xfId="0">
      <alignment horizontal="center"/>
    </xf>
    <xf numFmtId="0" fontId="23" fillId="2" borderId="2" applyAlignment="1" pivotButton="0" quotePrefix="0" xfId="0">
      <alignment horizontal="center" vertical="center" wrapText="1"/>
    </xf>
    <xf numFmtId="164" fontId="19" fillId="0" borderId="34" pivotButton="0" quotePrefix="0" xfId="0"/>
    <xf numFmtId="49" fontId="25" fillId="3" borderId="3" applyAlignment="1" pivotButton="0" quotePrefix="0" xfId="45">
      <alignment vertical="center" wrapText="1"/>
    </xf>
    <xf numFmtId="0" fontId="25" fillId="0" borderId="2" applyAlignment="1" pivotButton="0" quotePrefix="0" xfId="0">
      <alignment horizontal="left" vertical="center" wrapText="1"/>
    </xf>
    <xf numFmtId="0" fontId="25" fillId="0" borderId="2" applyAlignment="1" pivotButton="0" quotePrefix="0" xfId="0">
      <alignment horizontal="center" vertical="center" wrapText="1"/>
    </xf>
    <xf numFmtId="0" fontId="39" fillId="0" borderId="0" pivotButton="0" quotePrefix="0" xfId="0"/>
    <xf numFmtId="0" fontId="25" fillId="0" borderId="2" applyAlignment="1" pivotButton="0" quotePrefix="0" xfId="45">
      <alignment vertical="center" wrapText="1"/>
    </xf>
    <xf numFmtId="14" fontId="24" fillId="0" borderId="2" applyAlignment="1" pivotButton="0" quotePrefix="0" xfId="0">
      <alignment horizontal="left" vertical="center" wrapText="1"/>
    </xf>
    <xf numFmtId="164" fontId="37" fillId="0" borderId="2" pivotButton="0" quotePrefix="0" xfId="1"/>
    <xf numFmtId="0" fontId="37" fillId="0" borderId="2" pivotButton="0" quotePrefix="0" xfId="0"/>
    <xf numFmtId="14" fontId="25" fillId="0" borderId="2" applyAlignment="1" pivotButton="0" quotePrefix="0" xfId="0">
      <alignment horizontal="left" vertical="center" wrapText="1"/>
    </xf>
    <xf numFmtId="14" fontId="20" fillId="0" borderId="2" applyAlignment="1" pivotButton="0" quotePrefix="0" xfId="0">
      <alignment horizontal="left" vertical="center" wrapText="1"/>
    </xf>
    <xf numFmtId="0" fontId="20" fillId="0" borderId="2" applyAlignment="1" pivotButton="0" quotePrefix="0" xfId="0">
      <alignment horizontal="left" vertical="center" wrapText="1"/>
    </xf>
    <xf numFmtId="0" fontId="20" fillId="0" borderId="2" applyAlignment="1" pivotButton="0" quotePrefix="0" xfId="0">
      <alignment horizontal="center" vertical="center" wrapText="1"/>
    </xf>
    <xf numFmtId="0" fontId="20" fillId="0" borderId="2" applyAlignment="1" pivotButton="0" quotePrefix="0" xfId="45">
      <alignment vertical="center" wrapText="1"/>
    </xf>
    <xf numFmtId="164" fontId="20" fillId="0" borderId="2" applyAlignment="1" pivotButton="0" quotePrefix="0" xfId="48">
      <alignment vertical="center"/>
    </xf>
    <xf numFmtId="0" fontId="20" fillId="0" borderId="2" applyAlignment="1" pivotButton="0" quotePrefix="0" xfId="45">
      <alignment horizontal="center" vertical="center" wrapText="1"/>
    </xf>
    <xf numFmtId="0" fontId="41" fillId="45" borderId="16" applyAlignment="1" pivotButton="0" quotePrefix="0" xfId="0">
      <alignment horizontal="left" vertical="center" wrapText="1"/>
    </xf>
    <xf numFmtId="0" fontId="41" fillId="45" borderId="17" applyAlignment="1" pivotButton="0" quotePrefix="0" xfId="0">
      <alignment horizontal="center" vertical="center" wrapText="1"/>
    </xf>
    <xf numFmtId="0" fontId="42" fillId="45" borderId="16" applyAlignment="1" pivotButton="0" quotePrefix="0" xfId="0">
      <alignment horizontal="center" vertical="center" wrapText="1"/>
    </xf>
    <xf numFmtId="0" fontId="41" fillId="45" borderId="16" applyAlignment="1" pivotButton="0" quotePrefix="0" xfId="0">
      <alignment horizontal="center" vertical="center" wrapText="1"/>
    </xf>
    <xf numFmtId="0" fontId="41" fillId="45" borderId="20" applyAlignment="1" pivotButton="0" quotePrefix="0" xfId="0">
      <alignment horizontal="center" vertical="center" wrapText="1"/>
    </xf>
    <xf numFmtId="0" fontId="41" fillId="45" borderId="19" applyAlignment="1" pivotButton="0" quotePrefix="0" xfId="0">
      <alignment horizontal="center" vertical="center" wrapText="1"/>
    </xf>
    <xf numFmtId="0" fontId="41" fillId="45" borderId="18" applyAlignment="1" pivotButton="0" quotePrefix="0" xfId="0">
      <alignment horizontal="center" vertical="center" wrapText="1"/>
    </xf>
    <xf numFmtId="0" fontId="41" fillId="35" borderId="16" applyAlignment="1" pivotButton="0" quotePrefix="0" xfId="0">
      <alignment horizontal="center" vertical="center" wrapText="1"/>
    </xf>
    <xf numFmtId="0" fontId="41" fillId="35" borderId="17" applyAlignment="1" pivotButton="0" quotePrefix="0" xfId="0">
      <alignment horizontal="center" vertical="center" wrapText="1"/>
    </xf>
    <xf numFmtId="0" fontId="41" fillId="35" borderId="19" applyAlignment="1" pivotButton="0" quotePrefix="0" xfId="0">
      <alignment horizontal="center" vertical="center" wrapText="1"/>
    </xf>
    <xf numFmtId="165" fontId="41" fillId="35" borderId="21" applyAlignment="1" pivotButton="0" quotePrefix="0" xfId="47">
      <alignment horizontal="center" vertical="center" wrapText="1"/>
    </xf>
    <xf numFmtId="165" fontId="41" fillId="35" borderId="17" applyAlignment="1" pivotButton="0" quotePrefix="0" xfId="47">
      <alignment horizontal="center" vertical="center" wrapText="1"/>
    </xf>
    <xf numFmtId="165" fontId="41" fillId="35" borderId="19" applyAlignment="1" pivotButton="0" quotePrefix="0" xfId="47">
      <alignment horizontal="center" vertical="center" wrapText="1"/>
    </xf>
    <xf numFmtId="0" fontId="43" fillId="3" borderId="20" applyAlignment="1" pivotButton="0" quotePrefix="0" xfId="0">
      <alignment vertical="justify"/>
    </xf>
    <xf numFmtId="0" fontId="43" fillId="3" borderId="26" applyAlignment="1" pivotButton="0" quotePrefix="0" xfId="0">
      <alignment vertical="justify"/>
    </xf>
    <xf numFmtId="49" fontId="20" fillId="3" borderId="3" applyAlignment="1" pivotButton="0" quotePrefix="0" xfId="45">
      <alignment vertical="center" wrapText="1"/>
    </xf>
    <xf numFmtId="164" fontId="20" fillId="0" borderId="2" applyAlignment="1" pivotButton="0" quotePrefix="0" xfId="1">
      <alignment vertical="center"/>
    </xf>
    <xf numFmtId="49" fontId="24" fillId="37" borderId="3" applyAlignment="1" pivotButton="0" quotePrefix="0" xfId="45">
      <alignment vertical="center" wrapText="1"/>
    </xf>
    <xf numFmtId="164" fontId="20" fillId="41" borderId="15" applyAlignment="1" pivotButton="0" quotePrefix="0" xfId="1">
      <alignment vertical="center"/>
    </xf>
    <xf numFmtId="165" fontId="20" fillId="41" borderId="15" applyAlignment="1" pivotButton="0" quotePrefix="0" xfId="0">
      <alignment vertical="center"/>
    </xf>
    <xf numFmtId="0" fontId="20" fillId="41" borderId="15" applyAlignment="1" pivotButton="0" quotePrefix="0" xfId="0">
      <alignment vertical="center"/>
    </xf>
    <xf numFmtId="164" fontId="20" fillId="41" borderId="15" applyAlignment="1" pivotButton="0" quotePrefix="0" xfId="0">
      <alignment vertical="center"/>
    </xf>
    <xf numFmtId="164" fontId="20" fillId="41" borderId="24" applyAlignment="1" pivotButton="0" quotePrefix="0" xfId="0">
      <alignment vertical="center"/>
    </xf>
    <xf numFmtId="164" fontId="20" fillId="0" borderId="33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164" fontId="37" fillId="0" borderId="34" pivotButton="0" quotePrefix="0" xfId="0"/>
    <xf numFmtId="49" fontId="20" fillId="43" borderId="3" applyAlignment="1" pivotButton="0" quotePrefix="0" xfId="45">
      <alignment vertical="center" wrapText="1"/>
    </xf>
    <xf numFmtId="0" fontId="20" fillId="2" borderId="2" applyAlignment="1" pivotButton="0" quotePrefix="0" xfId="0">
      <alignment horizontal="left" vertical="center" wrapText="1"/>
    </xf>
    <xf numFmtId="0" fontId="20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45">
      <alignment horizontal="left" vertical="center" wrapText="1"/>
    </xf>
    <xf numFmtId="165" fontId="20" fillId="2" borderId="2" applyAlignment="1" pivotButton="0" quotePrefix="0" xfId="46">
      <alignment horizontal="left" vertical="center"/>
    </xf>
    <xf numFmtId="164" fontId="20" fillId="2" borderId="2" applyAlignment="1" pivotButton="0" quotePrefix="0" xfId="48">
      <alignment vertical="center"/>
    </xf>
    <xf numFmtId="49" fontId="20" fillId="36" borderId="3" applyAlignment="1" pivotButton="0" quotePrefix="0" xfId="45">
      <alignment vertical="center" wrapText="1"/>
    </xf>
    <xf numFmtId="49" fontId="20" fillId="38" borderId="3" applyAlignment="1" pivotButton="0" quotePrefix="0" xfId="45">
      <alignment vertical="center" wrapText="1"/>
    </xf>
    <xf numFmtId="49" fontId="20" fillId="39" borderId="3" applyAlignment="1" pivotButton="0" quotePrefix="0" xfId="45">
      <alignment vertical="center" wrapText="1"/>
    </xf>
    <xf numFmtId="14" fontId="20" fillId="0" borderId="2" applyAlignment="1" pivotButton="0" quotePrefix="0" xfId="46">
      <alignment horizontal="left" vertical="center"/>
    </xf>
    <xf numFmtId="0" fontId="20" fillId="2" borderId="2" applyAlignment="1" pivotButton="0" quotePrefix="0" xfId="45">
      <alignment vertical="center" wrapText="1"/>
    </xf>
    <xf numFmtId="14" fontId="20" fillId="0" borderId="2" applyAlignment="1" pivotButton="0" quotePrefix="0" xfId="0">
      <alignment horizontal="center" vertical="center"/>
    </xf>
    <xf numFmtId="49" fontId="20" fillId="41" borderId="3" applyAlignment="1" pivotButton="0" quotePrefix="0" xfId="45">
      <alignment horizontal="left" vertical="center" wrapText="1"/>
    </xf>
    <xf numFmtId="49" fontId="20" fillId="42" borderId="3" applyAlignment="1" pivotButton="0" quotePrefix="0" xfId="45">
      <alignment vertical="center" wrapText="1"/>
    </xf>
    <xf numFmtId="164" fontId="20" fillId="0" borderId="2" applyAlignment="1" pivotButton="0" quotePrefix="0" xfId="1">
      <alignment horizontal="left" vertical="center"/>
    </xf>
    <xf numFmtId="49" fontId="20" fillId="46" borderId="3" applyAlignment="1" pivotButton="0" quotePrefix="0" xfId="45">
      <alignment vertical="center" wrapText="1"/>
    </xf>
    <xf numFmtId="49" fontId="20" fillId="47" borderId="3" applyAlignment="1" pivotButton="0" quotePrefix="0" xfId="45">
      <alignment vertical="center" wrapText="1"/>
    </xf>
    <xf numFmtId="49" fontId="20" fillId="48" borderId="3" applyAlignment="1" pivotButton="0" quotePrefix="0" xfId="45">
      <alignment vertical="center" wrapText="1"/>
    </xf>
    <xf numFmtId="49" fontId="20" fillId="50" borderId="3" applyAlignment="1" pivotButton="0" quotePrefix="0" xfId="45">
      <alignment vertical="center" wrapText="1"/>
    </xf>
    <xf numFmtId="49" fontId="20" fillId="51" borderId="3" applyAlignment="1" pivotButton="0" quotePrefix="0" xfId="45">
      <alignment vertical="center" wrapText="1"/>
    </xf>
    <xf numFmtId="49" fontId="36" fillId="36" borderId="3" applyAlignment="1" pivotButton="0" quotePrefix="0" xfId="45">
      <alignment vertical="center" wrapText="1"/>
    </xf>
    <xf numFmtId="14" fontId="36" fillId="0" borderId="2" applyAlignment="1" pivotButton="0" quotePrefix="0" xfId="0">
      <alignment horizontal="left" vertical="center" wrapText="1"/>
    </xf>
    <xf numFmtId="0" fontId="36" fillId="0" borderId="2" applyAlignment="1" pivotButton="0" quotePrefix="0" xfId="0">
      <alignment horizontal="left" vertical="center" wrapText="1"/>
    </xf>
    <xf numFmtId="0" fontId="36" fillId="0" borderId="2" applyAlignment="1" pivotButton="0" quotePrefix="0" xfId="0">
      <alignment horizontal="center" vertical="center" wrapText="1"/>
    </xf>
    <xf numFmtId="0" fontId="36" fillId="0" borderId="2" applyAlignment="1" pivotButton="0" quotePrefix="0" xfId="45">
      <alignment vertical="center" wrapText="1"/>
    </xf>
    <xf numFmtId="165" fontId="36" fillId="0" borderId="2" applyAlignment="1" pivotButton="0" quotePrefix="0" xfId="46">
      <alignment horizontal="left" vertical="center"/>
    </xf>
    <xf numFmtId="164" fontId="36" fillId="0" borderId="2" applyAlignment="1" pivotButton="0" quotePrefix="0" xfId="48">
      <alignment vertical="center"/>
    </xf>
    <xf numFmtId="0" fontId="36" fillId="0" borderId="2" applyAlignment="1" pivotButton="0" quotePrefix="0" xfId="45">
      <alignment horizontal="center" vertical="center" wrapText="1"/>
    </xf>
    <xf numFmtId="164" fontId="39" fillId="0" borderId="34" pivotButton="0" quotePrefix="0" xfId="0"/>
    <xf numFmtId="49" fontId="36" fillId="42" borderId="3" applyAlignment="1" pivotButton="0" quotePrefix="0" xfId="45">
      <alignment vertical="center" wrapText="1"/>
    </xf>
    <xf numFmtId="14" fontId="36" fillId="0" borderId="2" applyAlignment="1" pivotButton="0" quotePrefix="0" xfId="46">
      <alignment horizontal="left" vertical="center"/>
    </xf>
    <xf numFmtId="0" fontId="36" fillId="0" borderId="2" applyAlignment="1" pivotButton="0" quotePrefix="0" xfId="45">
      <alignment horizontal="left" vertical="center" wrapText="1"/>
    </xf>
    <xf numFmtId="0" fontId="36" fillId="40" borderId="3" applyAlignment="1" pivotButton="0" quotePrefix="0" xfId="0">
      <alignment horizontal="left" vertical="center"/>
    </xf>
    <xf numFmtId="0" fontId="36" fillId="2" borderId="2" applyAlignment="1" pivotButton="0" quotePrefix="0" xfId="0">
      <alignment horizontal="center" vertical="center" wrapText="1"/>
    </xf>
    <xf numFmtId="49" fontId="36" fillId="39" borderId="3" applyAlignment="1" pivotButton="0" quotePrefix="0" xfId="45">
      <alignment vertical="center" wrapText="1"/>
    </xf>
    <xf numFmtId="49" fontId="20" fillId="41" borderId="3" applyAlignment="1" pivotButton="0" quotePrefix="0" xfId="45">
      <alignment vertical="center" wrapText="1"/>
    </xf>
    <xf numFmtId="49" fontId="20" fillId="52" borderId="3" applyAlignment="1" pivotButton="0" quotePrefix="0" xfId="45">
      <alignment vertical="center" wrapText="1"/>
    </xf>
    <xf numFmtId="49" fontId="20" fillId="53" borderId="3" applyAlignment="1" pivotButton="0" quotePrefix="0" xfId="45">
      <alignment vertical="center" wrapText="1"/>
    </xf>
    <xf numFmtId="164" fontId="44" fillId="0" borderId="2" applyAlignment="1" pivotButton="0" quotePrefix="0" xfId="48">
      <alignment vertical="center"/>
    </xf>
    <xf numFmtId="164" fontId="45" fillId="0" borderId="32" pivotButton="0" quotePrefix="0" xfId="0"/>
    <xf numFmtId="0" fontId="23" fillId="39" borderId="3" applyAlignment="1" pivotButton="0" quotePrefix="0" xfId="0">
      <alignment horizontal="left" vertical="center"/>
    </xf>
    <xf numFmtId="165" fontId="23" fillId="0" borderId="2" applyAlignment="1" pivotButton="0" quotePrefix="0" xfId="46">
      <alignment horizontal="left" vertical="center"/>
    </xf>
    <xf numFmtId="164" fontId="23" fillId="0" borderId="2" applyAlignment="1" pivotButton="0" quotePrefix="0" xfId="48">
      <alignment vertical="center"/>
    </xf>
    <xf numFmtId="164" fontId="47" fillId="0" borderId="34" pivotButton="0" quotePrefix="0" xfId="0"/>
    <xf numFmtId="0" fontId="47" fillId="0" borderId="0" pivotButton="0" quotePrefix="0" xfId="0"/>
    <xf numFmtId="0" fontId="23" fillId="39" borderId="3" applyAlignment="1" pivotButton="0" quotePrefix="0" xfId="45">
      <alignment horizontal="left" vertical="center" wrapText="1"/>
    </xf>
    <xf numFmtId="49" fontId="23" fillId="37" borderId="3" applyAlignment="1" pivotButton="0" quotePrefix="0" xfId="45">
      <alignment vertical="center" wrapText="1"/>
    </xf>
    <xf numFmtId="164" fontId="47" fillId="0" borderId="2" pivotButton="0" quotePrefix="0" xfId="1"/>
    <xf numFmtId="0" fontId="47" fillId="0" borderId="2" pivotButton="0" quotePrefix="0" xfId="0"/>
    <xf numFmtId="49" fontId="23" fillId="3" borderId="3" applyAlignment="1" pivotButton="0" quotePrefix="0" xfId="45">
      <alignment vertical="center" wrapText="1"/>
    </xf>
    <xf numFmtId="164" fontId="25" fillId="0" borderId="2" applyAlignment="1" pivotButton="0" quotePrefix="0" xfId="48">
      <alignment vertical="center"/>
    </xf>
    <xf numFmtId="164" fontId="23" fillId="0" borderId="2" applyAlignment="1" pivotButton="0" quotePrefix="0" xfId="1">
      <alignment vertical="center"/>
    </xf>
    <xf numFmtId="49" fontId="23" fillId="46" borderId="3" applyAlignment="1" pivotButton="0" quotePrefix="0" xfId="45">
      <alignment vertical="center" wrapText="1"/>
    </xf>
    <xf numFmtId="164" fontId="47" fillId="0" borderId="32" pivotButton="0" quotePrefix="0" xfId="0"/>
    <xf numFmtId="49" fontId="23" fillId="47" borderId="3" applyAlignment="1" pivotButton="0" quotePrefix="0" xfId="45">
      <alignment vertical="center" wrapText="1"/>
    </xf>
    <xf numFmtId="49" fontId="23" fillId="49" borderId="3" applyAlignment="1" pivotButton="0" quotePrefix="0" xfId="45">
      <alignment vertical="center" wrapText="1"/>
    </xf>
    <xf numFmtId="49" fontId="23" fillId="48" borderId="3" applyAlignment="1" pivotButton="0" quotePrefix="0" xfId="45">
      <alignment vertical="center" wrapText="1"/>
    </xf>
    <xf numFmtId="49" fontId="23" fillId="50" borderId="3" applyAlignment="1" pivotButton="0" quotePrefix="0" xfId="45">
      <alignment vertical="center" wrapText="1"/>
    </xf>
    <xf numFmtId="165" fontId="25" fillId="0" borderId="2" applyAlignment="1" pivotButton="0" quotePrefix="0" xfId="46">
      <alignment horizontal="left" vertical="center"/>
    </xf>
    <xf numFmtId="0" fontId="25" fillId="0" borderId="2" applyAlignment="1" pivotButton="0" quotePrefix="0" xfId="45">
      <alignment horizontal="center" vertical="center" wrapText="1"/>
    </xf>
    <xf numFmtId="164" fontId="48" fillId="0" borderId="34" pivotButton="0" quotePrefix="0" xfId="0"/>
    <xf numFmtId="0" fontId="48" fillId="0" borderId="0" pivotButton="0" quotePrefix="0" xfId="0"/>
    <xf numFmtId="164" fontId="47" fillId="54" borderId="2" pivotButton="0" quotePrefix="0" xfId="1"/>
    <xf numFmtId="49" fontId="49" fillId="39" borderId="3" applyAlignment="1" pivotButton="0" quotePrefix="0" xfId="45">
      <alignment vertical="center" wrapText="1"/>
    </xf>
    <xf numFmtId="14" fontId="49" fillId="0" borderId="2" applyAlignment="1" pivotButton="0" quotePrefix="0" xfId="0">
      <alignment horizontal="left" vertical="center" wrapText="1"/>
    </xf>
    <xf numFmtId="164" fontId="50" fillId="0" borderId="2" pivotButton="0" quotePrefix="0" xfId="1"/>
    <xf numFmtId="0" fontId="49" fillId="0" borderId="2" applyAlignment="1" pivotButton="0" quotePrefix="0" xfId="0">
      <alignment horizontal="center" vertical="center" wrapText="1"/>
    </xf>
    <xf numFmtId="0" fontId="49" fillId="0" borderId="2" applyAlignment="1" pivotButton="0" quotePrefix="0" xfId="0">
      <alignment horizontal="left" vertical="center" wrapText="1"/>
    </xf>
    <xf numFmtId="0" fontId="50" fillId="0" borderId="2" pivotButton="0" quotePrefix="0" xfId="0"/>
    <xf numFmtId="165" fontId="49" fillId="0" borderId="2" applyAlignment="1" pivotButton="0" quotePrefix="0" xfId="46">
      <alignment horizontal="left" vertical="center"/>
    </xf>
    <xf numFmtId="0" fontId="49" fillId="0" borderId="2" applyAlignment="1" pivotButton="0" quotePrefix="0" xfId="45">
      <alignment horizontal="center" vertical="center" wrapText="1"/>
    </xf>
    <xf numFmtId="164" fontId="49" fillId="0" borderId="2" applyAlignment="1" pivotButton="0" quotePrefix="0" xfId="48">
      <alignment vertical="center"/>
    </xf>
    <xf numFmtId="164" fontId="50" fillId="0" borderId="32" pivotButton="0" quotePrefix="0" xfId="0"/>
    <xf numFmtId="0" fontId="50" fillId="0" borderId="0" pivotButton="0" quotePrefix="0" xfId="0"/>
    <xf numFmtId="14" fontId="23" fillId="37" borderId="2" applyAlignment="1" pivotButton="0" quotePrefix="0" xfId="0">
      <alignment horizontal="left" vertical="center" wrapText="1"/>
    </xf>
    <xf numFmtId="164" fontId="47" fillId="37" borderId="2" pivotButton="0" quotePrefix="0" xfId="1"/>
    <xf numFmtId="0" fontId="23" fillId="37" borderId="2" applyAlignment="1" pivotButton="0" quotePrefix="0" xfId="0">
      <alignment horizontal="center" vertical="center" wrapText="1"/>
    </xf>
    <xf numFmtId="0" fontId="23" fillId="37" borderId="2" applyAlignment="1" pivotButton="0" quotePrefix="0" xfId="0">
      <alignment horizontal="left" vertical="center" wrapText="1"/>
    </xf>
    <xf numFmtId="0" fontId="47" fillId="37" borderId="2" pivotButton="0" quotePrefix="0" xfId="0"/>
    <xf numFmtId="165" fontId="23" fillId="37" borderId="2" applyAlignment="1" pivotButton="0" quotePrefix="0" xfId="46">
      <alignment horizontal="left" vertical="center"/>
    </xf>
    <xf numFmtId="0" fontId="23" fillId="37" borderId="2" applyAlignment="1" pivotButton="0" quotePrefix="0" xfId="45">
      <alignment horizontal="center" vertical="center" wrapText="1"/>
    </xf>
    <xf numFmtId="164" fontId="23" fillId="37" borderId="2" applyAlignment="1" pivotButton="0" quotePrefix="0" xfId="48">
      <alignment vertical="center"/>
    </xf>
    <xf numFmtId="164" fontId="47" fillId="37" borderId="32" pivotButton="0" quotePrefix="0" xfId="0"/>
    <xf numFmtId="0" fontId="47" fillId="37" borderId="0" pivotButton="0" quotePrefix="0" xfId="0"/>
    <xf numFmtId="0" fontId="32" fillId="44" borderId="0" pivotButton="0" quotePrefix="0" xfId="0"/>
    <xf numFmtId="0" fontId="32" fillId="56" borderId="0" pivotButton="0" quotePrefix="0" xfId="0"/>
    <xf numFmtId="0" fontId="25" fillId="0" borderId="14" applyAlignment="1" pivotButton="0" quotePrefix="0" xfId="0">
      <alignment horizontal="left" vertical="center" wrapText="1"/>
    </xf>
    <xf numFmtId="0" fontId="39" fillId="0" borderId="26" pivotButton="0" quotePrefix="0" xfId="0"/>
    <xf numFmtId="164" fontId="23" fillId="0" borderId="14" applyAlignment="1" pivotButton="0" quotePrefix="0" xfId="45">
      <alignment horizontal="center" vertical="center" wrapText="1"/>
    </xf>
    <xf numFmtId="0" fontId="46" fillId="36" borderId="26" pivotButton="0" quotePrefix="0" xfId="0"/>
    <xf numFmtId="0" fontId="46" fillId="0" borderId="43" pivotButton="0" quotePrefix="0" xfId="0"/>
    <xf numFmtId="0" fontId="39" fillId="36" borderId="26" pivotButton="0" quotePrefix="0" xfId="0"/>
    <xf numFmtId="0" fontId="39" fillId="0" borderId="43" pivotButton="0" quotePrefix="0" xfId="0"/>
    <xf numFmtId="0" fontId="53" fillId="0" borderId="43" pivotButton="0" quotePrefix="0" xfId="0"/>
    <xf numFmtId="165" fontId="23" fillId="0" borderId="14" applyAlignment="1" pivotButton="0" quotePrefix="0" xfId="46">
      <alignment horizontal="left" vertical="center"/>
    </xf>
    <xf numFmtId="0" fontId="26" fillId="57" borderId="19" applyAlignment="1" pivotButton="0" quotePrefix="0" xfId="0">
      <alignment horizontal="center" vertical="center" wrapText="1"/>
    </xf>
    <xf numFmtId="0" fontId="26" fillId="57" borderId="18" applyAlignment="1" pivotButton="0" quotePrefix="0" xfId="0">
      <alignment horizontal="center" vertical="center" wrapText="1"/>
    </xf>
    <xf numFmtId="0" fontId="26" fillId="57" borderId="16" applyAlignment="1" pivotButton="0" quotePrefix="0" xfId="0">
      <alignment horizontal="center" vertical="center" wrapText="1"/>
    </xf>
    <xf numFmtId="164" fontId="25" fillId="41" borderId="26" applyAlignment="1" pivotButton="0" quotePrefix="0" xfId="0">
      <alignment vertical="center"/>
    </xf>
    <xf numFmtId="0" fontId="36" fillId="41" borderId="20" applyAlignment="1" pivotButton="0" quotePrefix="0" xfId="0">
      <alignment vertical="center"/>
    </xf>
    <xf numFmtId="0" fontId="23" fillId="0" borderId="55" applyAlignment="1" pivotButton="0" quotePrefix="0" xfId="45">
      <alignment horizontal="center" vertical="center" wrapText="1"/>
    </xf>
    <xf numFmtId="14" fontId="23" fillId="0" borderId="53" applyAlignment="1" pivotButton="0" quotePrefix="0" xfId="0">
      <alignment horizontal="center" vertical="center" wrapText="1"/>
    </xf>
    <xf numFmtId="164" fontId="25" fillId="41" borderId="40" applyAlignment="1" pivotButton="0" quotePrefix="0" xfId="0">
      <alignment vertical="center"/>
    </xf>
    <xf numFmtId="0" fontId="25" fillId="36" borderId="26" applyAlignment="1" pivotButton="0" quotePrefix="0" xfId="45">
      <alignment horizontal="center" vertical="center" wrapText="1"/>
    </xf>
    <xf numFmtId="14" fontId="57" fillId="0" borderId="47" applyAlignment="1" pivotButton="0" quotePrefix="0" xfId="0">
      <alignment horizontal="center" vertical="center" wrapText="1"/>
    </xf>
    <xf numFmtId="165" fontId="57" fillId="0" borderId="23" applyAlignment="1" pivotButton="0" quotePrefix="0" xfId="46">
      <alignment vertical="center"/>
    </xf>
    <xf numFmtId="165" fontId="57" fillId="0" borderId="23" applyAlignment="1" pivotButton="0" quotePrefix="0" xfId="46">
      <alignment horizontal="left" vertical="center"/>
    </xf>
    <xf numFmtId="49" fontId="25" fillId="36" borderId="26" applyAlignment="1" pivotButton="0" quotePrefix="0" xfId="45">
      <alignment horizontal="center" vertical="center" wrapText="1"/>
    </xf>
    <xf numFmtId="49" fontId="25" fillId="59" borderId="26" applyAlignment="1" pivotButton="0" quotePrefix="0" xfId="45">
      <alignment horizontal="center" vertical="center" wrapText="1"/>
    </xf>
    <xf numFmtId="14" fontId="25" fillId="36" borderId="27" applyAlignment="1" pivotButton="0" quotePrefix="0" xfId="0">
      <alignment horizontal="center" vertical="center" wrapText="1"/>
    </xf>
    <xf numFmtId="0" fontId="25" fillId="36" borderId="27" applyAlignment="1" pivotButton="0" quotePrefix="0" xfId="0">
      <alignment horizontal="left" vertical="center" wrapText="1"/>
    </xf>
    <xf numFmtId="0" fontId="25" fillId="36" borderId="27" applyAlignment="1" pivotButton="0" quotePrefix="0" xfId="0">
      <alignment horizontal="center" vertical="center" wrapText="1"/>
    </xf>
    <xf numFmtId="0" fontId="25" fillId="36" borderId="27" applyAlignment="1" pivotButton="0" quotePrefix="0" xfId="45">
      <alignment horizontal="left" vertical="center" wrapText="1"/>
    </xf>
    <xf numFmtId="0" fontId="25" fillId="36" borderId="27" applyAlignment="1" pivotButton="0" quotePrefix="0" xfId="45">
      <alignment vertical="center" wrapText="1"/>
    </xf>
    <xf numFmtId="165" fontId="25" fillId="36" borderId="27" applyAlignment="1" pivotButton="0" quotePrefix="0" xfId="46">
      <alignment vertical="center"/>
    </xf>
    <xf numFmtId="165" fontId="25" fillId="36" borderId="27" applyAlignment="1" pivotButton="0" quotePrefix="0" xfId="46">
      <alignment horizontal="left" vertical="center"/>
    </xf>
    <xf numFmtId="164" fontId="48" fillId="36" borderId="27" applyAlignment="1" pivotButton="0" quotePrefix="0" xfId="0">
      <alignment vertical="center"/>
    </xf>
    <xf numFmtId="49" fontId="25" fillId="59" borderId="20" applyAlignment="1" pivotButton="0" quotePrefix="0" xfId="45">
      <alignment horizontal="center" vertical="center" wrapText="1"/>
    </xf>
    <xf numFmtId="0" fontId="25" fillId="59" borderId="27" applyAlignment="1" pivotButton="0" quotePrefix="0" xfId="0">
      <alignment horizontal="left" vertical="center" wrapText="1"/>
    </xf>
    <xf numFmtId="0" fontId="25" fillId="59" borderId="27" applyAlignment="1" pivotButton="0" quotePrefix="0" xfId="0">
      <alignment horizontal="center" vertical="center" wrapText="1"/>
    </xf>
    <xf numFmtId="0" fontId="25" fillId="59" borderId="27" applyAlignment="1" pivotButton="0" quotePrefix="0" xfId="45">
      <alignment horizontal="left" vertical="center" wrapText="1"/>
    </xf>
    <xf numFmtId="0" fontId="25" fillId="59" borderId="27" applyAlignment="1" pivotButton="0" quotePrefix="0" xfId="45">
      <alignment vertical="center" wrapText="1"/>
    </xf>
    <xf numFmtId="165" fontId="25" fillId="59" borderId="27" applyAlignment="1" pivotButton="0" quotePrefix="0" xfId="46">
      <alignment vertical="center"/>
    </xf>
    <xf numFmtId="165" fontId="25" fillId="59" borderId="27" applyAlignment="1" pivotButton="0" quotePrefix="0" xfId="46">
      <alignment horizontal="left" vertical="center"/>
    </xf>
    <xf numFmtId="164" fontId="48" fillId="59" borderId="27" applyAlignment="1" pivotButton="0" quotePrefix="0" xfId="0">
      <alignment vertical="center"/>
    </xf>
    <xf numFmtId="14" fontId="25" fillId="59" borderId="27" applyAlignment="1" pivotButton="0" quotePrefix="0" xfId="0">
      <alignment horizontal="center" vertical="center" wrapText="1"/>
    </xf>
    <xf numFmtId="164" fontId="25" fillId="41" borderId="4" applyAlignment="1" pivotButton="0" quotePrefix="0" xfId="1">
      <alignment vertical="center"/>
    </xf>
    <xf numFmtId="165" fontId="25" fillId="41" borderId="46" applyAlignment="1" pivotButton="0" quotePrefix="0" xfId="0">
      <alignment vertical="center"/>
    </xf>
    <xf numFmtId="164" fontId="25" fillId="41" borderId="46" applyAlignment="1" pivotButton="0" quotePrefix="0" xfId="0">
      <alignment vertical="center"/>
    </xf>
    <xf numFmtId="165" fontId="25" fillId="41" borderId="49" applyAlignment="1" pivotButton="0" quotePrefix="0" xfId="0">
      <alignment vertical="center"/>
    </xf>
    <xf numFmtId="14" fontId="25" fillId="60" borderId="4" applyAlignment="1" pivotButton="0" quotePrefix="0" xfId="0">
      <alignment horizontal="center" vertical="center" wrapText="1"/>
    </xf>
    <xf numFmtId="165" fontId="25" fillId="60" borderId="46" applyAlignment="1" pivotButton="0" quotePrefix="0" xfId="46">
      <alignment vertical="center"/>
    </xf>
    <xf numFmtId="165" fontId="25" fillId="60" borderId="46" applyAlignment="1" pivotButton="0" quotePrefix="0" xfId="46">
      <alignment horizontal="left" vertical="center"/>
    </xf>
    <xf numFmtId="49" fontId="25" fillId="60" borderId="55" applyAlignment="1" pivotButton="0" quotePrefix="0" xfId="45">
      <alignment horizontal="center" vertical="center" wrapText="1"/>
    </xf>
    <xf numFmtId="14" fontId="25" fillId="59" borderId="4" applyAlignment="1" pivotButton="0" quotePrefix="0" xfId="0">
      <alignment horizontal="center" vertical="center" wrapText="1"/>
    </xf>
    <xf numFmtId="165" fontId="25" fillId="59" borderId="46" applyAlignment="1" pivotButton="0" quotePrefix="0" xfId="46">
      <alignment vertical="center"/>
    </xf>
    <xf numFmtId="165" fontId="25" fillId="59" borderId="46" applyAlignment="1" pivotButton="0" quotePrefix="0" xfId="46">
      <alignment horizontal="left" vertical="center"/>
    </xf>
    <xf numFmtId="0" fontId="25" fillId="36" borderId="0" applyAlignment="1" pivotButton="0" quotePrefix="0" xfId="0">
      <alignment horizontal="center" vertical="center"/>
    </xf>
    <xf numFmtId="14" fontId="25" fillId="36" borderId="26" applyAlignment="1" pivotButton="0" quotePrefix="0" xfId="46">
      <alignment horizontal="center" vertical="center"/>
    </xf>
    <xf numFmtId="0" fontId="25" fillId="36" borderId="27" applyAlignment="1" pivotButton="0" quotePrefix="0" xfId="0">
      <alignment vertical="center" wrapText="1"/>
    </xf>
    <xf numFmtId="164" fontId="25" fillId="36" borderId="27" applyAlignment="1" pivotButton="0" quotePrefix="0" xfId="45">
      <alignment horizontal="center" vertical="center" wrapText="1"/>
    </xf>
    <xf numFmtId="0" fontId="57" fillId="0" borderId="47" applyAlignment="1" pivotButton="0" quotePrefix="0" xfId="0">
      <alignment horizontal="center" vertical="center" wrapText="1"/>
    </xf>
    <xf numFmtId="0" fontId="25" fillId="59" borderId="52" applyAlignment="1" pivotButton="0" quotePrefix="0" xfId="0">
      <alignment horizontal="center" vertical="center" wrapText="1"/>
    </xf>
    <xf numFmtId="0" fontId="25" fillId="60" borderId="52" applyAlignment="1" pivotButton="0" quotePrefix="0" xfId="0">
      <alignment horizontal="center" vertical="center" wrapText="1"/>
    </xf>
    <xf numFmtId="0" fontId="25" fillId="0" borderId="35" applyAlignment="1" pivotButton="0" quotePrefix="0" xfId="0">
      <alignment horizontal="center" vertical="center" wrapText="1"/>
    </xf>
    <xf numFmtId="0" fontId="25" fillId="0" borderId="32" applyAlignment="1" pivotButton="0" quotePrefix="0" xfId="0">
      <alignment horizontal="center" vertical="center" wrapText="1"/>
    </xf>
    <xf numFmtId="0" fontId="25" fillId="2" borderId="32" applyAlignment="1" pivotButton="0" quotePrefix="0" xfId="0">
      <alignment horizontal="center" vertical="center" wrapText="1"/>
    </xf>
    <xf numFmtId="0" fontId="25" fillId="36" borderId="20" applyAlignment="1" pivotButton="0" quotePrefix="0" xfId="0">
      <alignment horizontal="center" vertical="center" wrapText="1"/>
    </xf>
    <xf numFmtId="0" fontId="58" fillId="0" borderId="48" applyAlignment="1" pivotButton="0" quotePrefix="0" xfId="0">
      <alignment horizontal="center" vertical="center" wrapText="1"/>
    </xf>
    <xf numFmtId="0" fontId="25" fillId="59" borderId="20" applyAlignment="1" pivotButton="0" quotePrefix="0" xfId="0">
      <alignment horizontal="center" vertical="center" wrapText="1"/>
    </xf>
    <xf numFmtId="0" fontId="25" fillId="0" borderId="61" applyAlignment="1" pivotButton="0" quotePrefix="0" xfId="0">
      <alignment horizontal="center" vertical="center" wrapText="1"/>
    </xf>
    <xf numFmtId="0" fontId="25" fillId="60" borderId="20" applyAlignment="1" pivotButton="0" quotePrefix="0" xfId="0">
      <alignment horizontal="center" vertical="center" wrapText="1"/>
    </xf>
    <xf numFmtId="0" fontId="25" fillId="0" borderId="33" applyAlignment="1" pivotButton="0" quotePrefix="0" xfId="0">
      <alignment horizontal="center" vertical="center" wrapText="1"/>
    </xf>
    <xf numFmtId="0" fontId="23" fillId="0" borderId="57" applyAlignment="1" pivotButton="0" quotePrefix="0" xfId="0">
      <alignment horizontal="left" vertical="center" wrapText="1"/>
    </xf>
    <xf numFmtId="0" fontId="25" fillId="0" borderId="53" applyAlignment="1" pivotButton="0" quotePrefix="0" xfId="0">
      <alignment horizontal="center" vertical="center" wrapText="1"/>
    </xf>
    <xf numFmtId="0" fontId="25" fillId="0" borderId="14" applyAlignment="1" pivotButton="0" quotePrefix="0" xfId="45">
      <alignment horizontal="left" vertical="center" wrapText="1"/>
    </xf>
    <xf numFmtId="0" fontId="25" fillId="0" borderId="14" applyAlignment="1" pivotButton="0" quotePrefix="0" xfId="45">
      <alignment vertical="center" wrapText="1"/>
    </xf>
    <xf numFmtId="14" fontId="63" fillId="0" borderId="50" applyAlignment="1" pivotButton="0" quotePrefix="0" xfId="0">
      <alignment horizontal="center" vertical="center" wrapText="1"/>
    </xf>
    <xf numFmtId="0" fontId="63" fillId="2" borderId="22" applyAlignment="1" pivotButton="0" quotePrefix="0" xfId="0">
      <alignment horizontal="left" vertical="center" wrapText="1"/>
    </xf>
    <xf numFmtId="0" fontId="64" fillId="2" borderId="32" applyAlignment="1" pivotButton="0" quotePrefix="0" xfId="0">
      <alignment horizontal="center" vertical="center" wrapText="1"/>
    </xf>
    <xf numFmtId="0" fontId="63" fillId="2" borderId="50" applyAlignment="1" pivotButton="0" quotePrefix="0" xfId="0">
      <alignment horizontal="center" vertical="center" wrapText="1"/>
    </xf>
    <xf numFmtId="0" fontId="63" fillId="2" borderId="2" applyAlignment="1" pivotButton="0" quotePrefix="0" xfId="0">
      <alignment horizontal="left" vertical="center" wrapText="1"/>
    </xf>
    <xf numFmtId="0" fontId="63" fillId="0" borderId="2" applyAlignment="1" pivotButton="0" quotePrefix="0" xfId="0">
      <alignment horizontal="left" vertical="center" wrapText="1"/>
    </xf>
    <xf numFmtId="0" fontId="63" fillId="0" borderId="2" applyAlignment="1" pivotButton="0" quotePrefix="0" xfId="45">
      <alignment horizontal="left" vertical="center" wrapText="1"/>
    </xf>
    <xf numFmtId="0" fontId="63" fillId="0" borderId="2" applyAlignment="1" pivotButton="0" quotePrefix="0" xfId="45">
      <alignment vertical="center" wrapText="1"/>
    </xf>
    <xf numFmtId="0" fontId="63" fillId="0" borderId="22" applyAlignment="1" pivotButton="0" quotePrefix="0" xfId="0">
      <alignment horizontal="left" vertical="center" wrapText="1"/>
    </xf>
    <xf numFmtId="0" fontId="64" fillId="0" borderId="32" applyAlignment="1" pivotButton="0" quotePrefix="0" xfId="0">
      <alignment horizontal="center" vertical="center" wrapText="1"/>
    </xf>
    <xf numFmtId="0" fontId="63" fillId="0" borderId="50" applyAlignment="1" pivotButton="0" quotePrefix="0" xfId="0">
      <alignment horizontal="center" vertical="center" wrapText="1"/>
    </xf>
    <xf numFmtId="0" fontId="63" fillId="0" borderId="2" applyAlignment="1" pivotButton="0" quotePrefix="0" xfId="0">
      <alignment vertical="center" wrapText="1"/>
    </xf>
    <xf numFmtId="14" fontId="63" fillId="0" borderId="51" applyAlignment="1" pivotButton="0" quotePrefix="0" xfId="46">
      <alignment horizontal="center" vertical="center"/>
    </xf>
    <xf numFmtId="0" fontId="63" fillId="0" borderId="42" applyAlignment="1" pivotButton="0" quotePrefix="0" xfId="0">
      <alignment horizontal="left" vertical="center" wrapText="1"/>
    </xf>
    <xf numFmtId="0" fontId="64" fillId="2" borderId="44" applyAlignment="1" pivotButton="0" quotePrefix="0" xfId="0">
      <alignment horizontal="center" vertical="center" wrapText="1"/>
    </xf>
    <xf numFmtId="0" fontId="63" fillId="0" borderId="51" applyAlignment="1" pivotButton="0" quotePrefix="0" xfId="0">
      <alignment horizontal="center" vertical="center" wrapText="1"/>
    </xf>
    <xf numFmtId="0" fontId="63" fillId="0" borderId="1" applyAlignment="1" pivotButton="0" quotePrefix="0" xfId="0">
      <alignment horizontal="left" vertical="center" wrapText="1"/>
    </xf>
    <xf numFmtId="0" fontId="63" fillId="0" borderId="1" applyAlignment="1" pivotButton="0" quotePrefix="0" xfId="45">
      <alignment vertical="center" wrapText="1"/>
    </xf>
    <xf numFmtId="0" fontId="63" fillId="0" borderId="1" applyAlignment="1" pivotButton="0" quotePrefix="0" xfId="0">
      <alignment vertical="center" wrapText="1"/>
    </xf>
    <xf numFmtId="165" fontId="63" fillId="0" borderId="2" applyAlignment="1" pivotButton="0" quotePrefix="0" xfId="46">
      <alignment horizontal="left" vertical="center"/>
    </xf>
    <xf numFmtId="164" fontId="63" fillId="0" borderId="2" applyAlignment="1" pivotButton="0" quotePrefix="0" xfId="45">
      <alignment horizontal="center" vertical="center" wrapText="1"/>
    </xf>
    <xf numFmtId="165" fontId="63" fillId="0" borderId="1" applyAlignment="1" pivotButton="0" quotePrefix="0" xfId="46">
      <alignment horizontal="left" vertical="center"/>
    </xf>
    <xf numFmtId="164" fontId="63" fillId="0" borderId="1" applyAlignment="1" pivotButton="0" quotePrefix="0" xfId="45">
      <alignment horizontal="center" vertical="center" wrapText="1"/>
    </xf>
    <xf numFmtId="14" fontId="63" fillId="0" borderId="53" applyAlignment="1" pivotButton="0" quotePrefix="0" xfId="46">
      <alignment horizontal="center" vertical="center"/>
    </xf>
    <xf numFmtId="0" fontId="63" fillId="0" borderId="57" applyAlignment="1" pivotButton="0" quotePrefix="0" xfId="0">
      <alignment horizontal="left" vertical="center" wrapText="1"/>
    </xf>
    <xf numFmtId="0" fontId="64" fillId="0" borderId="61" applyAlignment="1" pivotButton="0" quotePrefix="0" xfId="0">
      <alignment horizontal="center" vertical="center" wrapText="1"/>
    </xf>
    <xf numFmtId="0" fontId="63" fillId="0" borderId="53" applyAlignment="1" pivotButton="0" quotePrefix="0" xfId="0">
      <alignment horizontal="center" vertical="center" wrapText="1"/>
    </xf>
    <xf numFmtId="0" fontId="63" fillId="0" borderId="14" applyAlignment="1" pivotButton="0" quotePrefix="0" xfId="0">
      <alignment horizontal="left" vertical="center" wrapText="1"/>
    </xf>
    <xf numFmtId="0" fontId="63" fillId="2" borderId="14" applyAlignment="1" pivotButton="0" quotePrefix="0" xfId="45">
      <alignment vertical="center" wrapText="1"/>
    </xf>
    <xf numFmtId="0" fontId="63" fillId="0" borderId="14" applyAlignment="1" pivotButton="0" quotePrefix="0" xfId="0">
      <alignment vertical="center" wrapText="1"/>
    </xf>
    <xf numFmtId="165" fontId="63" fillId="0" borderId="14" applyAlignment="1" pivotButton="0" quotePrefix="0" xfId="46">
      <alignment horizontal="left" vertical="center"/>
    </xf>
    <xf numFmtId="164" fontId="63" fillId="0" borderId="14" applyAlignment="1" pivotButton="0" quotePrefix="0" xfId="45">
      <alignment horizontal="center" vertical="center" wrapText="1"/>
    </xf>
    <xf numFmtId="14" fontId="63" fillId="0" borderId="50" applyAlignment="1" pivotButton="0" quotePrefix="0" xfId="46">
      <alignment horizontal="center" vertical="center"/>
    </xf>
    <xf numFmtId="0" fontId="63" fillId="2" borderId="2" applyAlignment="1" pivotButton="0" quotePrefix="0" xfId="45">
      <alignment vertical="center" wrapText="1"/>
    </xf>
    <xf numFmtId="14" fontId="63" fillId="0" borderId="50" applyAlignment="1" pivotButton="0" quotePrefix="0" xfId="0">
      <alignment horizontal="center" vertical="center"/>
    </xf>
    <xf numFmtId="0" fontId="63" fillId="0" borderId="22" applyAlignment="1" pivotButton="0" quotePrefix="0" xfId="0">
      <alignment horizontal="center" vertical="center"/>
    </xf>
    <xf numFmtId="0" fontId="64" fillId="0" borderId="44" applyAlignment="1" pivotButton="0" quotePrefix="0" xfId="0">
      <alignment horizontal="center" vertical="center" wrapText="1"/>
    </xf>
    <xf numFmtId="0" fontId="63" fillId="0" borderId="2" applyAlignment="1" pivotButton="0" quotePrefix="0" xfId="0">
      <alignment horizontal="center" vertical="center"/>
    </xf>
    <xf numFmtId="0" fontId="64" fillId="0" borderId="48" applyAlignment="1" pivotButton="0" quotePrefix="0" xfId="0">
      <alignment horizontal="center" vertical="center" wrapText="1"/>
    </xf>
    <xf numFmtId="0" fontId="65" fillId="0" borderId="2" applyAlignment="1" pivotButton="0" quotePrefix="0" xfId="0">
      <alignment horizontal="left" vertical="center" wrapText="1"/>
    </xf>
    <xf numFmtId="49" fontId="63" fillId="0" borderId="60" applyAlignment="1" pivotButton="0" quotePrefix="0" xfId="45">
      <alignment horizontal="center" vertical="center" wrapText="1"/>
    </xf>
    <xf numFmtId="49" fontId="63" fillId="0" borderId="41" applyAlignment="1" pivotButton="0" quotePrefix="0" xfId="45">
      <alignment horizontal="center" vertical="center" wrapText="1"/>
    </xf>
    <xf numFmtId="0" fontId="63" fillId="0" borderId="55" applyAlignment="1" pivotButton="0" quotePrefix="0" xfId="0">
      <alignment horizontal="center" vertical="center"/>
    </xf>
    <xf numFmtId="0" fontId="63" fillId="0" borderId="60" applyAlignment="1" pivotButton="0" quotePrefix="0" xfId="0">
      <alignment horizontal="center" vertical="center"/>
    </xf>
    <xf numFmtId="14" fontId="63" fillId="0" borderId="47" applyAlignment="1" pivotButton="0" quotePrefix="0" xfId="0">
      <alignment horizontal="center" vertical="center" wrapText="1"/>
    </xf>
    <xf numFmtId="0" fontId="63" fillId="0" borderId="59" applyAlignment="1" pivotButton="0" quotePrefix="0" xfId="0">
      <alignment horizontal="left" vertical="center" wrapText="1"/>
    </xf>
    <xf numFmtId="0" fontId="64" fillId="2" borderId="48" applyAlignment="1" pivotButton="0" quotePrefix="0" xfId="0">
      <alignment horizontal="center" vertical="center" wrapText="1"/>
    </xf>
    <xf numFmtId="0" fontId="63" fillId="0" borderId="47" applyAlignment="1" pivotButton="0" quotePrefix="0" xfId="0">
      <alignment horizontal="center" vertical="center" wrapText="1"/>
    </xf>
    <xf numFmtId="0" fontId="63" fillId="0" borderId="23" applyAlignment="1" pivotButton="0" quotePrefix="0" xfId="0">
      <alignment horizontal="left" vertical="center" wrapText="1"/>
    </xf>
    <xf numFmtId="0" fontId="63" fillId="0" borderId="23" applyAlignment="1" pivotButton="0" quotePrefix="0" xfId="45">
      <alignment horizontal="left" vertical="center" wrapText="1"/>
    </xf>
    <xf numFmtId="0" fontId="63" fillId="0" borderId="23" applyAlignment="1" pivotButton="0" quotePrefix="0" xfId="45">
      <alignment vertical="center" wrapText="1"/>
    </xf>
    <xf numFmtId="165" fontId="63" fillId="0" borderId="23" applyAlignment="1" pivotButton="0" quotePrefix="0" xfId="46">
      <alignment vertical="center"/>
    </xf>
    <xf numFmtId="165" fontId="63" fillId="0" borderId="23" applyAlignment="1" pivotButton="0" quotePrefix="0" xfId="46">
      <alignment horizontal="left" vertical="center"/>
    </xf>
    <xf numFmtId="14" fontId="63" fillId="0" borderId="53" applyAlignment="1" pivotButton="0" quotePrefix="0" xfId="0">
      <alignment horizontal="center" vertical="center" wrapText="1"/>
    </xf>
    <xf numFmtId="165" fontId="63" fillId="0" borderId="14" applyAlignment="1" pivotButton="0" quotePrefix="0" xfId="46">
      <alignment vertical="center"/>
    </xf>
    <xf numFmtId="165" fontId="63" fillId="0" borderId="2" applyAlignment="1" pivotButton="0" quotePrefix="0" xfId="46">
      <alignment vertical="center"/>
    </xf>
    <xf numFmtId="14" fontId="63" fillId="0" borderId="51" applyAlignment="1" pivotButton="0" quotePrefix="0" xfId="0">
      <alignment horizontal="center" vertical="center" wrapText="1"/>
    </xf>
    <xf numFmtId="165" fontId="63" fillId="0" borderId="1" applyAlignment="1" pivotButton="0" quotePrefix="0" xfId="46">
      <alignment vertical="center"/>
    </xf>
    <xf numFmtId="0" fontId="64" fillId="2" borderId="61" applyAlignment="1" pivotButton="0" quotePrefix="0" xfId="0">
      <alignment horizontal="center" vertical="center" wrapText="1"/>
    </xf>
    <xf numFmtId="49" fontId="63" fillId="0" borderId="55" applyAlignment="1" pivotButton="0" quotePrefix="0" xfId="45">
      <alignment horizontal="center" vertical="center" wrapText="1"/>
    </xf>
    <xf numFmtId="49" fontId="63" fillId="0" borderId="0" applyAlignment="1" pivotButton="0" quotePrefix="0" xfId="45">
      <alignment horizontal="center" vertical="center" wrapText="1"/>
    </xf>
    <xf numFmtId="0" fontId="67" fillId="0" borderId="60" applyAlignment="1" pivotButton="0" quotePrefix="0" xfId="0">
      <alignment horizontal="center" vertical="center"/>
    </xf>
    <xf numFmtId="0" fontId="67" fillId="0" borderId="41" applyAlignment="1" pivotButton="0" quotePrefix="0" xfId="0">
      <alignment horizontal="center" vertical="center"/>
    </xf>
    <xf numFmtId="165" fontId="23" fillId="0" borderId="46" applyAlignment="1" pivotButton="0" quotePrefix="0" xfId="46">
      <alignment horizontal="left" vertical="center"/>
    </xf>
    <xf numFmtId="49" fontId="25" fillId="36" borderId="0" applyAlignment="1" pivotButton="0" quotePrefix="0" xfId="45">
      <alignment horizontal="center" vertical="center" wrapText="1"/>
    </xf>
    <xf numFmtId="0" fontId="32" fillId="0" borderId="0" applyAlignment="1" pivotButton="0" quotePrefix="0" xfId="0">
      <alignment vertical="center"/>
    </xf>
    <xf numFmtId="0" fontId="33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9" fillId="57" borderId="27" applyAlignment="1" pivotButton="0" quotePrefix="0" xfId="0">
      <alignment vertical="center"/>
    </xf>
    <xf numFmtId="0" fontId="30" fillId="0" borderId="0" applyAlignment="1" pivotButton="0" quotePrefix="0" xfId="0">
      <alignment vertical="center"/>
    </xf>
    <xf numFmtId="164" fontId="47" fillId="0" borderId="14" applyAlignment="1" pivotButton="0" quotePrefix="0" xfId="0">
      <alignment vertical="center"/>
    </xf>
    <xf numFmtId="164" fontId="23" fillId="0" borderId="14" applyAlignment="1" pivotButton="0" quotePrefix="0" xfId="1">
      <alignment vertical="center"/>
    </xf>
    <xf numFmtId="164" fontId="47" fillId="0" borderId="57" applyAlignment="1" pivotButton="0" quotePrefix="0" xfId="0">
      <alignment vertical="center"/>
    </xf>
    <xf numFmtId="164" fontId="47" fillId="0" borderId="35" applyAlignment="1" pivotButton="0" quotePrefix="0" xfId="0">
      <alignment vertical="center"/>
    </xf>
    <xf numFmtId="0" fontId="19" fillId="0" borderId="37" applyAlignment="1" pivotButton="0" quotePrefix="0" xfId="0">
      <alignment vertical="center"/>
    </xf>
    <xf numFmtId="164" fontId="65" fillId="0" borderId="2" applyAlignment="1" pivotButton="0" quotePrefix="0" xfId="0">
      <alignment vertical="center"/>
    </xf>
    <xf numFmtId="164" fontId="63" fillId="0" borderId="2" applyAlignment="1" pivotButton="0" quotePrefix="0" xfId="1">
      <alignment vertical="center"/>
    </xf>
    <xf numFmtId="164" fontId="65" fillId="0" borderId="22" applyAlignment="1" pivotButton="0" quotePrefix="0" xfId="0">
      <alignment vertical="center"/>
    </xf>
    <xf numFmtId="164" fontId="65" fillId="0" borderId="32" applyAlignment="1" pivotButton="0" quotePrefix="0" xfId="0">
      <alignment vertical="center"/>
    </xf>
    <xf numFmtId="0" fontId="65" fillId="0" borderId="34" applyAlignment="1" pivotButton="0" quotePrefix="0" xfId="0">
      <alignment vertical="center"/>
    </xf>
    <xf numFmtId="164" fontId="65" fillId="0" borderId="1" applyAlignment="1" pivotButton="0" quotePrefix="0" xfId="0">
      <alignment vertical="center"/>
    </xf>
    <xf numFmtId="164" fontId="63" fillId="0" borderId="1" applyAlignment="1" pivotButton="0" quotePrefix="0" xfId="1">
      <alignment vertical="center"/>
    </xf>
    <xf numFmtId="164" fontId="65" fillId="0" borderId="42" applyAlignment="1" pivotButton="0" quotePrefix="0" xfId="0">
      <alignment vertical="center"/>
    </xf>
    <xf numFmtId="164" fontId="65" fillId="0" borderId="44" applyAlignment="1" pivotButton="0" quotePrefix="0" xfId="0">
      <alignment vertical="center"/>
    </xf>
    <xf numFmtId="0" fontId="65" fillId="0" borderId="45" applyAlignment="1" pivotButton="0" quotePrefix="0" xfId="0">
      <alignment vertical="center"/>
    </xf>
    <xf numFmtId="164" fontId="25" fillId="36" borderId="27" applyAlignment="1" pivotButton="0" quotePrefix="0" xfId="1">
      <alignment vertical="center"/>
    </xf>
    <xf numFmtId="164" fontId="48" fillId="36" borderId="20" applyAlignment="1" pivotButton="0" quotePrefix="0" xfId="0">
      <alignment vertical="center"/>
    </xf>
    <xf numFmtId="0" fontId="46" fillId="36" borderId="28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164" fontId="65" fillId="0" borderId="14" applyAlignment="1" pivotButton="0" quotePrefix="0" xfId="0">
      <alignment vertical="center"/>
    </xf>
    <xf numFmtId="164" fontId="63" fillId="0" borderId="14" applyAlignment="1" pivotButton="0" quotePrefix="0" xfId="1">
      <alignment vertical="center"/>
    </xf>
    <xf numFmtId="164" fontId="65" fillId="0" borderId="57" applyAlignment="1" pivotButton="0" quotePrefix="0" xfId="0">
      <alignment vertical="center"/>
    </xf>
    <xf numFmtId="164" fontId="65" fillId="0" borderId="61" applyAlignment="1" pivotButton="0" quotePrefix="0" xfId="0">
      <alignment vertical="center"/>
    </xf>
    <xf numFmtId="0" fontId="65" fillId="0" borderId="56" applyAlignment="1" pivotButton="0" quotePrefix="0" xfId="0">
      <alignment vertical="center"/>
    </xf>
    <xf numFmtId="0" fontId="37" fillId="0" borderId="0" applyAlignment="1" pivotButton="0" quotePrefix="0" xfId="0">
      <alignment vertical="center"/>
    </xf>
    <xf numFmtId="164" fontId="65" fillId="0" borderId="23" applyAlignment="1" pivotButton="0" quotePrefix="0" xfId="0">
      <alignment vertical="center"/>
    </xf>
    <xf numFmtId="164" fontId="66" fillId="0" borderId="23" applyAlignment="1" pivotButton="0" quotePrefix="0" xfId="0">
      <alignment vertical="center"/>
    </xf>
    <xf numFmtId="164" fontId="64" fillId="0" borderId="23" applyAlignment="1" pivotButton="0" quotePrefix="0" xfId="1">
      <alignment vertical="center"/>
    </xf>
    <xf numFmtId="164" fontId="66" fillId="0" borderId="59" applyAlignment="1" pivotButton="0" quotePrefix="0" xfId="0">
      <alignment vertical="center"/>
    </xf>
    <xf numFmtId="164" fontId="66" fillId="0" borderId="48" applyAlignment="1" pivotButton="0" quotePrefix="0" xfId="0">
      <alignment vertical="center"/>
    </xf>
    <xf numFmtId="0" fontId="65" fillId="0" borderId="39" applyAlignment="1" pivotButton="0" quotePrefix="0" xfId="0">
      <alignment vertical="center"/>
    </xf>
    <xf numFmtId="0" fontId="46" fillId="36" borderId="0" applyAlignment="1" pivotButton="0" quotePrefix="0" xfId="0">
      <alignment vertical="center"/>
    </xf>
    <xf numFmtId="0" fontId="45" fillId="0" borderId="0" applyAlignment="1" pivotButton="0" quotePrefix="0" xfId="0">
      <alignment vertical="center"/>
    </xf>
    <xf numFmtId="0" fontId="48" fillId="36" borderId="28" applyAlignment="1" pivotButton="0" quotePrefix="0" xfId="0">
      <alignment vertical="center"/>
    </xf>
    <xf numFmtId="164" fontId="65" fillId="0" borderId="59" applyAlignment="1" pivotButton="0" quotePrefix="0" xfId="1">
      <alignment vertical="center"/>
    </xf>
    <xf numFmtId="164" fontId="65" fillId="0" borderId="23" applyAlignment="1" pivotButton="0" quotePrefix="0" xfId="1">
      <alignment vertical="center"/>
    </xf>
    <xf numFmtId="164" fontId="65" fillId="0" borderId="23" applyAlignment="1" pivotButton="0" quotePrefix="0" xfId="1">
      <alignment horizontal="left" vertical="center"/>
    </xf>
    <xf numFmtId="164" fontId="64" fillId="0" borderId="23" applyAlignment="1" pivotButton="0" quotePrefix="0" xfId="1">
      <alignment vertical="center"/>
    </xf>
    <xf numFmtId="164" fontId="59" fillId="0" borderId="59" applyAlignment="1" pivotButton="0" quotePrefix="0" xfId="1">
      <alignment vertical="center"/>
    </xf>
    <xf numFmtId="164" fontId="59" fillId="0" borderId="23" applyAlignment="1" pivotButton="0" quotePrefix="0" xfId="1">
      <alignment vertical="center"/>
    </xf>
    <xf numFmtId="164" fontId="59" fillId="0" borderId="23" applyAlignment="1" pivotButton="0" quotePrefix="0" xfId="1">
      <alignment horizontal="left" vertical="center"/>
    </xf>
    <xf numFmtId="164" fontId="59" fillId="0" borderId="23" applyAlignment="1" pivotButton="0" quotePrefix="0" xfId="0">
      <alignment vertical="center"/>
    </xf>
    <xf numFmtId="164" fontId="60" fillId="0" borderId="23" applyAlignment="1" pivotButton="0" quotePrefix="0" xfId="0">
      <alignment vertical="center"/>
    </xf>
    <xf numFmtId="164" fontId="58" fillId="0" borderId="23" applyAlignment="1" pivotButton="0" quotePrefix="0" xfId="1">
      <alignment vertical="center"/>
    </xf>
    <xf numFmtId="164" fontId="60" fillId="0" borderId="59" applyAlignment="1" pivotButton="0" quotePrefix="0" xfId="0">
      <alignment vertical="center"/>
    </xf>
    <xf numFmtId="164" fontId="60" fillId="0" borderId="48" applyAlignment="1" pivotButton="0" quotePrefix="0" xfId="0">
      <alignment vertical="center"/>
    </xf>
    <xf numFmtId="0" fontId="19" fillId="0" borderId="39" applyAlignment="1" pivotButton="0" quotePrefix="0" xfId="0">
      <alignment vertical="center"/>
    </xf>
    <xf numFmtId="164" fontId="25" fillId="59" borderId="27" applyAlignment="1" pivotButton="0" quotePrefix="0" xfId="1">
      <alignment vertical="center"/>
    </xf>
    <xf numFmtId="164" fontId="48" fillId="59" borderId="20" applyAlignment="1" pivotButton="0" quotePrefix="0" xfId="0">
      <alignment vertical="center"/>
    </xf>
    <xf numFmtId="0" fontId="48" fillId="59" borderId="28" applyAlignment="1" pivotButton="0" quotePrefix="0" xfId="0">
      <alignment vertical="center"/>
    </xf>
    <xf numFmtId="164" fontId="65" fillId="0" borderId="57" applyAlignment="1" pivotButton="0" quotePrefix="0" xfId="1">
      <alignment vertical="center"/>
    </xf>
    <xf numFmtId="164" fontId="65" fillId="0" borderId="14" applyAlignment="1" pivotButton="0" quotePrefix="0" xfId="1">
      <alignment vertical="center"/>
    </xf>
    <xf numFmtId="164" fontId="65" fillId="0" borderId="14" applyAlignment="1" pivotButton="0" quotePrefix="0" xfId="1">
      <alignment horizontal="left" vertical="center"/>
    </xf>
    <xf numFmtId="164" fontId="66" fillId="0" borderId="14" applyAlignment="1" pivotButton="0" quotePrefix="0" xfId="0">
      <alignment vertical="center"/>
    </xf>
    <xf numFmtId="164" fontId="64" fillId="0" borderId="14" applyAlignment="1" pivotButton="0" quotePrefix="0" xfId="1">
      <alignment vertical="center"/>
    </xf>
    <xf numFmtId="164" fontId="66" fillId="0" borderId="57" applyAlignment="1" pivotButton="0" quotePrefix="0" xfId="0">
      <alignment vertical="center"/>
    </xf>
    <xf numFmtId="164" fontId="66" fillId="0" borderId="61" applyAlignment="1" pivotButton="0" quotePrefix="0" xfId="0">
      <alignment vertical="center"/>
    </xf>
    <xf numFmtId="164" fontId="65" fillId="0" borderId="22" applyAlignment="1" pivotButton="0" quotePrefix="0" xfId="1">
      <alignment vertical="center"/>
    </xf>
    <xf numFmtId="164" fontId="65" fillId="0" borderId="2" applyAlignment="1" pivotButton="0" quotePrefix="0" xfId="1">
      <alignment vertical="center"/>
    </xf>
    <xf numFmtId="164" fontId="65" fillId="0" borderId="2" applyAlignment="1" pivotButton="0" quotePrefix="0" xfId="1">
      <alignment horizontal="left" vertical="center"/>
    </xf>
    <xf numFmtId="164" fontId="66" fillId="0" borderId="2" applyAlignment="1" pivotButton="0" quotePrefix="0" xfId="0">
      <alignment vertical="center"/>
    </xf>
    <xf numFmtId="164" fontId="64" fillId="0" borderId="2" applyAlignment="1" pivotButton="0" quotePrefix="0" xfId="1">
      <alignment vertical="center"/>
    </xf>
    <xf numFmtId="164" fontId="66" fillId="0" borderId="22" applyAlignment="1" pivotButton="0" quotePrefix="0" xfId="0">
      <alignment vertical="center"/>
    </xf>
    <xf numFmtId="164" fontId="66" fillId="0" borderId="32" applyAlignment="1" pivotButton="0" quotePrefix="0" xfId="0">
      <alignment vertical="center"/>
    </xf>
    <xf numFmtId="164" fontId="65" fillId="0" borderId="42" applyAlignment="1" pivotButton="0" quotePrefix="0" xfId="1">
      <alignment vertical="center"/>
    </xf>
    <xf numFmtId="164" fontId="65" fillId="0" borderId="1" applyAlignment="1" pivotButton="0" quotePrefix="0" xfId="1">
      <alignment vertical="center"/>
    </xf>
    <xf numFmtId="164" fontId="65" fillId="0" borderId="1" applyAlignment="1" pivotButton="0" quotePrefix="0" xfId="1">
      <alignment horizontal="left" vertical="center"/>
    </xf>
    <xf numFmtId="164" fontId="66" fillId="0" borderId="1" applyAlignment="1" pivotButton="0" quotePrefix="0" xfId="0">
      <alignment vertical="center"/>
    </xf>
    <xf numFmtId="164" fontId="64" fillId="0" borderId="1" applyAlignment="1" pivotButton="0" quotePrefix="0" xfId="1">
      <alignment vertical="center"/>
    </xf>
    <xf numFmtId="164" fontId="66" fillId="0" borderId="42" applyAlignment="1" pivotButton="0" quotePrefix="0" xfId="0">
      <alignment vertical="center"/>
    </xf>
    <xf numFmtId="164" fontId="66" fillId="0" borderId="44" applyAlignment="1" pivotButton="0" quotePrefix="0" xfId="0">
      <alignment vertical="center"/>
    </xf>
    <xf numFmtId="164" fontId="48" fillId="59" borderId="58" applyAlignment="1" pivotButton="0" quotePrefix="0" xfId="1">
      <alignment vertical="center"/>
    </xf>
    <xf numFmtId="164" fontId="48" fillId="59" borderId="46" applyAlignment="1" pivotButton="0" quotePrefix="0" xfId="1">
      <alignment vertical="center"/>
    </xf>
    <xf numFmtId="164" fontId="48" fillId="59" borderId="46" applyAlignment="1" pivotButton="0" quotePrefix="0" xfId="1">
      <alignment horizontal="left" vertical="center"/>
    </xf>
    <xf numFmtId="164" fontId="48" fillId="59" borderId="46" applyAlignment="1" pivotButton="0" quotePrefix="0" xfId="0">
      <alignment vertical="center"/>
    </xf>
    <xf numFmtId="164" fontId="25" fillId="59" borderId="46" applyAlignment="1" pivotButton="0" quotePrefix="0" xfId="1">
      <alignment vertical="center"/>
    </xf>
    <xf numFmtId="164" fontId="48" fillId="59" borderId="58" applyAlignment="1" pivotButton="0" quotePrefix="0" xfId="0">
      <alignment vertical="center"/>
    </xf>
    <xf numFmtId="164" fontId="48" fillId="60" borderId="58" applyAlignment="1" pivotButton="0" quotePrefix="0" xfId="1">
      <alignment vertical="center"/>
    </xf>
    <xf numFmtId="164" fontId="48" fillId="60" borderId="46" applyAlignment="1" pivotButton="0" quotePrefix="0" xfId="1">
      <alignment vertical="center"/>
    </xf>
    <xf numFmtId="164" fontId="48" fillId="60" borderId="46" applyAlignment="1" pivotButton="0" quotePrefix="0" xfId="1">
      <alignment horizontal="left" vertical="center"/>
    </xf>
    <xf numFmtId="164" fontId="48" fillId="60" borderId="46" applyAlignment="1" pivotButton="0" quotePrefix="0" xfId="0">
      <alignment vertical="center"/>
    </xf>
    <xf numFmtId="164" fontId="25" fillId="60" borderId="46" applyAlignment="1" pivotButton="0" quotePrefix="0" xfId="1">
      <alignment vertical="center"/>
    </xf>
    <xf numFmtId="164" fontId="48" fillId="60" borderId="58" applyAlignment="1" pivotButton="0" quotePrefix="0" xfId="0">
      <alignment vertical="center"/>
    </xf>
    <xf numFmtId="164" fontId="48" fillId="60" borderId="20" applyAlignment="1" pivotButton="0" quotePrefix="0" xfId="0">
      <alignment vertical="center"/>
    </xf>
    <xf numFmtId="0" fontId="39" fillId="60" borderId="28" applyAlignment="1" pivotButton="0" quotePrefix="0" xfId="0">
      <alignment vertical="center"/>
    </xf>
    <xf numFmtId="164" fontId="48" fillId="36" borderId="27" applyAlignment="1" pivotButton="0" quotePrefix="0" xfId="1">
      <alignment vertical="center"/>
    </xf>
    <xf numFmtId="164" fontId="48" fillId="36" borderId="27" applyAlignment="1" pivotButton="0" quotePrefix="0" xfId="1">
      <alignment horizontal="left" vertical="center"/>
    </xf>
    <xf numFmtId="164" fontId="47" fillId="0" borderId="57" applyAlignment="1" pivotButton="0" quotePrefix="0" xfId="1">
      <alignment vertical="center"/>
    </xf>
    <xf numFmtId="164" fontId="47" fillId="0" borderId="22" applyAlignment="1" pivotButton="0" quotePrefix="0" xfId="1">
      <alignment vertical="center"/>
    </xf>
    <xf numFmtId="164" fontId="65" fillId="0" borderId="50" applyAlignment="1" pivotButton="0" quotePrefix="0" xfId="1">
      <alignment horizontal="center" vertical="center"/>
    </xf>
    <xf numFmtId="164" fontId="65" fillId="0" borderId="51" applyAlignment="1" pivotButton="0" quotePrefix="0" xfId="1">
      <alignment horizontal="center" vertical="center"/>
    </xf>
    <xf numFmtId="164" fontId="47" fillId="0" borderId="42" applyAlignment="1" pivotButton="0" quotePrefix="0" xfId="1">
      <alignment vertical="center"/>
    </xf>
    <xf numFmtId="164" fontId="66" fillId="0" borderId="33" applyAlignment="1" pivotButton="0" quotePrefix="0" xfId="0">
      <alignment vertical="center"/>
    </xf>
    <xf numFmtId="0" fontId="47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164" fontId="19" fillId="0" borderId="0" applyAlignment="1" pivotButton="0" quotePrefix="0" xfId="1">
      <alignment vertical="center"/>
    </xf>
    <xf numFmtId="0" fontId="51" fillId="56" borderId="17" applyAlignment="1" pivotButton="0" quotePrefix="0" xfId="0">
      <alignment horizontal="center" vertical="center"/>
    </xf>
    <xf numFmtId="0" fontId="52" fillId="56" borderId="48" applyAlignment="1" pivotButton="0" quotePrefix="0" xfId="0">
      <alignment horizontal="center" vertical="center"/>
    </xf>
    <xf numFmtId="0" fontId="23" fillId="41" borderId="30" applyAlignment="1" pivotButton="0" quotePrefix="0" xfId="0">
      <alignment horizontal="center" vertical="center"/>
    </xf>
    <xf numFmtId="0" fontId="23" fillId="41" borderId="31" applyAlignment="1" pivotButton="0" quotePrefix="0" xfId="0">
      <alignment horizontal="center" vertical="center"/>
    </xf>
    <xf numFmtId="0" fontId="23" fillId="41" borderId="29" applyAlignment="1" pivotButton="0" quotePrefix="0" xfId="0">
      <alignment horizontal="center" vertical="center"/>
    </xf>
    <xf numFmtId="0" fontId="30" fillId="41" borderId="0" applyAlignment="1" pivotButton="0" quotePrefix="0" xfId="0">
      <alignment horizontal="center" vertical="center" wrapText="1"/>
    </xf>
    <xf numFmtId="0" fontId="30" fillId="41" borderId="25" applyAlignment="1" pivotButton="0" quotePrefix="0" xfId="0">
      <alignment horizontal="center" vertical="center" wrapText="1"/>
    </xf>
    <xf numFmtId="0" fontId="40" fillId="44" borderId="0" applyAlignment="1" pivotButton="0" quotePrefix="0" xfId="0">
      <alignment horizontal="center"/>
    </xf>
    <xf numFmtId="0" fontId="40" fillId="35" borderId="0" applyAlignment="1" pivotButton="0" quotePrefix="0" xfId="0">
      <alignment horizontal="center"/>
    </xf>
    <xf numFmtId="0" fontId="33" fillId="0" borderId="0" applyAlignment="1" pivotButton="0" quotePrefix="0" xfId="0">
      <alignment horizontal="center"/>
    </xf>
    <xf numFmtId="0" fontId="43" fillId="42" borderId="26" applyAlignment="1" pivotButton="0" quotePrefix="0" xfId="0">
      <alignment horizontal="center" vertical="justify"/>
    </xf>
    <xf numFmtId="0" fontId="43" fillId="42" borderId="27" applyAlignment="1" pivotButton="0" quotePrefix="0" xfId="0">
      <alignment horizontal="center" vertical="justify"/>
    </xf>
    <xf numFmtId="0" fontId="43" fillId="42" borderId="28" applyAlignment="1" pivotButton="0" quotePrefix="0" xfId="0">
      <alignment horizontal="center" vertical="justify"/>
    </xf>
    <xf numFmtId="0" fontId="43" fillId="3" borderId="26" applyAlignment="1" pivotButton="0" quotePrefix="0" xfId="0">
      <alignment horizontal="center" vertical="justify"/>
    </xf>
    <xf numFmtId="0" fontId="43" fillId="3" borderId="27" applyAlignment="1" pivotButton="0" quotePrefix="0" xfId="0">
      <alignment horizontal="center" vertical="justify"/>
    </xf>
    <xf numFmtId="0" fontId="43" fillId="3" borderId="28" applyAlignment="1" pivotButton="0" quotePrefix="0" xfId="0">
      <alignment horizontal="center" vertical="justify"/>
    </xf>
    <xf numFmtId="0" fontId="34" fillId="37" borderId="23" applyAlignment="1" pivotButton="0" quotePrefix="0" xfId="45">
      <alignment horizontal="center" vertical="center" textRotation="255"/>
    </xf>
    <xf numFmtId="0" fontId="34" fillId="37" borderId="14" applyAlignment="1" pivotButton="0" quotePrefix="0" xfId="45">
      <alignment horizontal="center" vertical="center" textRotation="255"/>
    </xf>
    <xf numFmtId="0" fontId="34" fillId="38" borderId="1" applyAlignment="1" pivotButton="0" quotePrefix="0" xfId="45">
      <alignment horizontal="center" vertical="center" textRotation="255"/>
    </xf>
    <xf numFmtId="0" fontId="34" fillId="38" borderId="23" applyAlignment="1" pivotButton="0" quotePrefix="0" xfId="45">
      <alignment horizontal="center" vertical="center" textRotation="255"/>
    </xf>
    <xf numFmtId="0" fontId="34" fillId="38" borderId="14" applyAlignment="1" pivotButton="0" quotePrefix="0" xfId="45">
      <alignment horizontal="center" vertical="center" textRotation="255"/>
    </xf>
    <xf numFmtId="0" fontId="56" fillId="57" borderId="17" applyAlignment="1" pivotButton="0" quotePrefix="0" xfId="0">
      <alignment horizontal="center" vertical="center" wrapText="1"/>
    </xf>
    <xf numFmtId="0" fontId="56" fillId="57" borderId="54" applyAlignment="1" pivotButton="0" quotePrefix="0" xfId="0">
      <alignment horizontal="center" vertical="center" wrapText="1"/>
    </xf>
    <xf numFmtId="0" fontId="55" fillId="57" borderId="17" applyAlignment="1" pivotButton="0" quotePrefix="0" xfId="0">
      <alignment horizontal="center" vertical="center" wrapText="1"/>
    </xf>
    <xf numFmtId="0" fontId="55" fillId="57" borderId="54" applyAlignment="1" pivotButton="0" quotePrefix="0" xfId="0">
      <alignment horizontal="center" vertical="center" wrapText="1"/>
    </xf>
    <xf numFmtId="0" fontId="54" fillId="57" borderId="17" applyAlignment="1" pivotButton="0" quotePrefix="0" xfId="0">
      <alignment horizontal="center" vertical="center" wrapText="1"/>
    </xf>
    <xf numFmtId="0" fontId="54" fillId="57" borderId="54" applyAlignment="1" pivotButton="0" quotePrefix="0" xfId="0">
      <alignment horizontal="center" vertical="center" wrapText="1"/>
    </xf>
    <xf numFmtId="0" fontId="25" fillId="41" borderId="27" applyAlignment="1" pivotButton="0" quotePrefix="0" xfId="0">
      <alignment horizontal="center" vertical="center"/>
    </xf>
    <xf numFmtId="0" fontId="25" fillId="41" borderId="28" applyAlignment="1" pivotButton="0" quotePrefix="0" xfId="0">
      <alignment horizontal="center" vertical="center"/>
    </xf>
    <xf numFmtId="0" fontId="26" fillId="57" borderId="18" applyAlignment="1" pivotButton="0" quotePrefix="0" xfId="0">
      <alignment horizontal="center" vertical="center" wrapText="1"/>
    </xf>
    <xf numFmtId="0" fontId="26" fillId="57" borderId="25" applyAlignment="1" pivotButton="0" quotePrefix="0" xfId="0">
      <alignment horizontal="center" vertical="center" wrapText="1"/>
    </xf>
    <xf numFmtId="0" fontId="38" fillId="57" borderId="17" applyAlignment="1" pivotButton="0" quotePrefix="0" xfId="0">
      <alignment horizontal="center" vertical="center" wrapText="1"/>
    </xf>
    <xf numFmtId="0" fontId="38" fillId="57" borderId="54" applyAlignment="1" pivotButton="0" quotePrefix="0" xfId="0">
      <alignment horizontal="center" vertical="center" wrapText="1"/>
    </xf>
    <xf numFmtId="0" fontId="35" fillId="38" borderId="17" applyAlignment="1" pivotButton="0" quotePrefix="0" xfId="45">
      <alignment horizontal="center" vertical="center" textRotation="255"/>
    </xf>
    <xf numFmtId="0" fontId="35" fillId="38" borderId="48" applyAlignment="1" pivotButton="0" quotePrefix="0" xfId="45">
      <alignment horizontal="center" vertical="center" textRotation="255"/>
    </xf>
    <xf numFmtId="0" fontId="35" fillId="38" borderId="54" applyAlignment="1" pivotButton="0" quotePrefix="0" xfId="45">
      <alignment horizontal="center" vertical="center" textRotation="255"/>
    </xf>
    <xf numFmtId="0" fontId="34" fillId="37" borderId="17" applyAlignment="1" pivotButton="0" quotePrefix="0" xfId="45">
      <alignment horizontal="center" vertical="center" textRotation="255"/>
    </xf>
    <xf numFmtId="0" fontId="34" fillId="37" borderId="48" applyAlignment="1" pivotButton="0" quotePrefix="0" xfId="45">
      <alignment horizontal="center" vertical="center" textRotation="255"/>
    </xf>
    <xf numFmtId="0" fontId="34" fillId="37" borderId="54" applyAlignment="1" pivotButton="0" quotePrefix="0" xfId="45">
      <alignment horizontal="center" vertical="center" textRotation="255"/>
    </xf>
    <xf numFmtId="0" fontId="56" fillId="57" borderId="19" applyAlignment="1" pivotButton="0" quotePrefix="0" xfId="0">
      <alignment horizontal="center" vertical="center"/>
    </xf>
    <xf numFmtId="0" fontId="56" fillId="57" borderId="40" applyAlignment="1" pivotButton="0" quotePrefix="0" xfId="0">
      <alignment horizontal="center" vertical="center"/>
    </xf>
    <xf numFmtId="0" fontId="31" fillId="35" borderId="0" applyAlignment="1" pivotButton="0" quotePrefix="0" xfId="0">
      <alignment horizontal="center" vertical="center"/>
    </xf>
    <xf numFmtId="0" fontId="62" fillId="44" borderId="0" applyAlignment="1" pivotButton="0" quotePrefix="0" xfId="0">
      <alignment horizontal="center" vertical="center"/>
    </xf>
    <xf numFmtId="0" fontId="39" fillId="41" borderId="37" applyAlignment="1" pivotButton="0" quotePrefix="0" xfId="0">
      <alignment horizontal="center" vertical="center" wrapText="1"/>
    </xf>
    <xf numFmtId="0" fontId="39" fillId="41" borderId="38" applyAlignment="1" pivotButton="0" quotePrefix="0" xfId="0">
      <alignment horizontal="center" vertical="center" wrapText="1"/>
    </xf>
    <xf numFmtId="9" fontId="22" fillId="41" borderId="35" applyAlignment="1" pivotButton="0" quotePrefix="0" xfId="0">
      <alignment horizontal="center" vertical="center" wrapText="1"/>
    </xf>
    <xf numFmtId="0" fontId="22" fillId="41" borderId="33" applyAlignment="1" pivotButton="0" quotePrefix="0" xfId="0">
      <alignment horizontal="center" vertical="center" wrapText="1"/>
    </xf>
    <xf numFmtId="9" fontId="22" fillId="41" borderId="36" applyAlignment="1" pivotButton="0" quotePrefix="0" xfId="0">
      <alignment horizontal="center" vertical="center" wrapText="1"/>
    </xf>
    <xf numFmtId="0" fontId="22" fillId="41" borderId="31" applyAlignment="1" pivotButton="0" quotePrefix="0" xfId="0">
      <alignment horizontal="center" vertical="center" wrapText="1"/>
    </xf>
    <xf numFmtId="164" fontId="36" fillId="55" borderId="35" applyAlignment="1" pivotButton="0" quotePrefix="0" xfId="1">
      <alignment horizontal="center" vertical="center" wrapText="1"/>
    </xf>
    <xf numFmtId="164" fontId="36" fillId="55" borderId="33" applyAlignment="1" pivotButton="0" quotePrefix="0" xfId="1">
      <alignment horizontal="center" vertical="center" wrapText="1"/>
    </xf>
    <xf numFmtId="0" fontId="36" fillId="58" borderId="35" applyAlignment="1" pivotButton="0" quotePrefix="0" xfId="0">
      <alignment horizontal="center" vertical="center" wrapText="1"/>
    </xf>
    <xf numFmtId="0" fontId="36" fillId="58" borderId="33" applyAlignment="1" pivotButton="0" quotePrefix="0" xfId="0">
      <alignment horizontal="center" vertical="center" wrapText="1"/>
    </xf>
    <xf numFmtId="0" fontId="36" fillId="41" borderId="35" applyAlignment="1" pivotButton="0" quotePrefix="0" xfId="0">
      <alignment horizontal="center" vertical="center" wrapText="1"/>
    </xf>
    <xf numFmtId="0" fontId="36" fillId="41" borderId="33" applyAlignment="1" pivotButton="0" quotePrefix="0" xfId="0">
      <alignment horizontal="center" vertical="center" wrapText="1"/>
    </xf>
    <xf numFmtId="0" fontId="55" fillId="56" borderId="17" applyAlignment="1" pivotButton="0" quotePrefix="0" xfId="0">
      <alignment horizontal="center" vertical="center"/>
    </xf>
    <xf numFmtId="0" fontId="55" fillId="56" borderId="54" applyAlignment="1" pivotButton="0" quotePrefix="0" xfId="0">
      <alignment horizontal="center" vertical="center"/>
    </xf>
    <xf numFmtId="0" fontId="39" fillId="41" borderId="17" applyAlignment="1" pivotButton="0" quotePrefix="0" xfId="0">
      <alignment horizontal="center" vertical="center" wrapText="1"/>
    </xf>
    <xf numFmtId="0" fontId="39" fillId="41" borderId="48" applyAlignment="1" pivotButton="0" quotePrefix="0" xfId="0">
      <alignment horizontal="center" vertical="center" wrapText="1"/>
    </xf>
    <xf numFmtId="0" fontId="32" fillId="0" borderId="25" applyAlignment="1" pivotButton="0" quotePrefix="0" xfId="0">
      <alignment horizontal="center" vertical="center"/>
    </xf>
    <xf numFmtId="0" fontId="39" fillId="41" borderId="54" applyAlignment="1" pivotButton="0" quotePrefix="0" xfId="0">
      <alignment horizontal="center" vertical="center" wrapText="1"/>
    </xf>
    <xf numFmtId="9" fontId="61" fillId="57" borderId="17" applyAlignment="1" pivotButton="0" quotePrefix="0" xfId="0">
      <alignment horizontal="center" vertical="center" wrapText="1"/>
    </xf>
    <xf numFmtId="9" fontId="61" fillId="57" borderId="54" applyAlignment="1" pivotButton="0" quotePrefix="0" xfId="0">
      <alignment horizontal="center" vertical="center" wrapText="1"/>
    </xf>
    <xf numFmtId="165" fontId="41" fillId="35" borderId="21" applyAlignment="1" pivotButton="0" quotePrefix="0" xfId="47">
      <alignment horizontal="center" vertical="center" wrapText="1"/>
    </xf>
    <xf numFmtId="165" fontId="41" fillId="35" borderId="17" applyAlignment="1" pivotButton="0" quotePrefix="0" xfId="47">
      <alignment horizontal="center" vertical="center" wrapText="1"/>
    </xf>
    <xf numFmtId="165" fontId="41" fillId="35" borderId="19" applyAlignment="1" pivotButton="0" quotePrefix="0" xfId="47">
      <alignment horizontal="center" vertical="center" wrapText="1"/>
    </xf>
    <xf numFmtId="0" fontId="0" fillId="0" borderId="48" pivotButton="0" quotePrefix="0" xfId="0"/>
    <xf numFmtId="0" fontId="43" fillId="3" borderId="20" applyAlignment="1" pivotButton="0" quotePrefix="0" xfId="0">
      <alignment horizontal="center" vertical="justify"/>
    </xf>
    <xf numFmtId="0" fontId="0" fillId="0" borderId="27" pivotButton="0" quotePrefix="0" xfId="0"/>
    <xf numFmtId="0" fontId="0" fillId="0" borderId="28" pivotButton="0" quotePrefix="0" xfId="0"/>
    <xf numFmtId="0" fontId="43" fillId="42" borderId="20" applyAlignment="1" pivotButton="0" quotePrefix="0" xfId="0">
      <alignment horizontal="center" vertical="justify"/>
    </xf>
    <xf numFmtId="0" fontId="0" fillId="0" borderId="25" pivotButton="0" quotePrefix="0" xfId="0"/>
    <xf numFmtId="166" fontId="20" fillId="0" borderId="2" applyAlignment="1" pivotButton="0" quotePrefix="0" xfId="0">
      <alignment horizontal="left" vertical="center" wrapText="1"/>
    </xf>
    <xf numFmtId="167" fontId="20" fillId="2" borderId="2" applyAlignment="1" pivotButton="0" quotePrefix="0" xfId="46">
      <alignment horizontal="left" vertical="center"/>
    </xf>
    <xf numFmtId="165" fontId="20" fillId="2" borderId="2" applyAlignment="1" pivotButton="0" quotePrefix="0" xfId="46">
      <alignment horizontal="left" vertical="center"/>
    </xf>
    <xf numFmtId="165" fontId="20" fillId="0" borderId="2" applyAlignment="1" pivotButton="0" quotePrefix="0" xfId="46">
      <alignment horizontal="left" vertical="center"/>
    </xf>
    <xf numFmtId="167" fontId="20" fillId="0" borderId="2" applyAlignment="1" pivotButton="0" quotePrefix="0" xfId="46">
      <alignment horizontal="left" vertical="center"/>
    </xf>
    <xf numFmtId="167" fontId="20" fillId="2" borderId="2" applyAlignment="1" pivotButton="0" quotePrefix="0" xfId="48">
      <alignment vertical="center"/>
    </xf>
    <xf numFmtId="167" fontId="20" fillId="0" borderId="2" applyAlignment="1" pivotButton="0" quotePrefix="0" xfId="48">
      <alignment vertical="center"/>
    </xf>
    <xf numFmtId="164" fontId="20" fillId="0" borderId="2" applyAlignment="1" pivotButton="0" quotePrefix="0" xfId="48">
      <alignment vertical="center"/>
    </xf>
    <xf numFmtId="167" fontId="19" fillId="0" borderId="34" pivotButton="0" quotePrefix="0" xfId="0"/>
    <xf numFmtId="164" fontId="20" fillId="2" borderId="2" applyAlignment="1" pivotButton="0" quotePrefix="0" xfId="48">
      <alignment vertical="center"/>
    </xf>
    <xf numFmtId="164" fontId="19" fillId="0" borderId="34" pivotButton="0" quotePrefix="0" xfId="0"/>
    <xf numFmtId="0" fontId="0" fillId="0" borderId="23" pivotButton="0" quotePrefix="0" xfId="0"/>
    <xf numFmtId="0" fontId="0" fillId="0" borderId="14" pivotButton="0" quotePrefix="0" xfId="0"/>
    <xf numFmtId="0" fontId="34" fillId="38" borderId="2" applyAlignment="1" pivotButton="0" quotePrefix="0" xfId="45">
      <alignment horizontal="center" vertical="center" textRotation="255"/>
    </xf>
    <xf numFmtId="165" fontId="23" fillId="0" borderId="2" applyAlignment="1" pivotButton="0" quotePrefix="0" xfId="46">
      <alignment horizontal="left" vertical="center"/>
    </xf>
    <xf numFmtId="164" fontId="23" fillId="0" borderId="2" applyAlignment="1" pivotButton="0" quotePrefix="0" xfId="48">
      <alignment vertical="center"/>
    </xf>
    <xf numFmtId="164" fontId="47" fillId="0" borderId="34" pivotButton="0" quotePrefix="0" xfId="0"/>
    <xf numFmtId="165" fontId="25" fillId="0" borderId="2" applyAlignment="1" pivotButton="0" quotePrefix="0" xfId="46">
      <alignment horizontal="left" vertical="center"/>
    </xf>
    <xf numFmtId="164" fontId="25" fillId="0" borderId="2" applyAlignment="1" pivotButton="0" quotePrefix="0" xfId="48">
      <alignment vertical="center"/>
    </xf>
    <xf numFmtId="164" fontId="48" fillId="0" borderId="34" pivotButton="0" quotePrefix="0" xfId="0"/>
    <xf numFmtId="164" fontId="23" fillId="0" borderId="2" applyAlignment="1" pivotButton="0" quotePrefix="0" xfId="1">
      <alignment vertical="center"/>
    </xf>
    <xf numFmtId="164" fontId="47" fillId="0" borderId="2" pivotButton="0" quotePrefix="0" xfId="1"/>
    <xf numFmtId="164" fontId="37" fillId="0" borderId="2" pivotButton="0" quotePrefix="0" xfId="1"/>
    <xf numFmtId="165" fontId="24" fillId="0" borderId="2" applyAlignment="1" pivotButton="0" quotePrefix="0" xfId="46">
      <alignment horizontal="left" vertical="center"/>
    </xf>
    <xf numFmtId="164" fontId="24" fillId="0" borderId="2" applyAlignment="1" pivotButton="0" quotePrefix="0" xfId="48">
      <alignment vertical="center"/>
    </xf>
    <xf numFmtId="164" fontId="37" fillId="0" borderId="34" pivotButton="0" quotePrefix="0" xfId="0"/>
    <xf numFmtId="164" fontId="47" fillId="0" borderId="32" pivotButton="0" quotePrefix="0" xfId="0"/>
    <xf numFmtId="164" fontId="47" fillId="54" borderId="2" pivotButton="0" quotePrefix="0" xfId="1"/>
    <xf numFmtId="164" fontId="47" fillId="37" borderId="2" pivotButton="0" quotePrefix="0" xfId="1"/>
    <xf numFmtId="165" fontId="23" fillId="37" borderId="2" applyAlignment="1" pivotButton="0" quotePrefix="0" xfId="46">
      <alignment horizontal="left" vertical="center"/>
    </xf>
    <xf numFmtId="164" fontId="23" fillId="37" borderId="2" applyAlignment="1" pivotButton="0" quotePrefix="0" xfId="48">
      <alignment vertical="center"/>
    </xf>
    <xf numFmtId="164" fontId="47" fillId="37" borderId="32" pivotButton="0" quotePrefix="0" xfId="0"/>
    <xf numFmtId="164" fontId="19" fillId="0" borderId="2" pivotButton="0" quotePrefix="0" xfId="1"/>
    <xf numFmtId="164" fontId="44" fillId="0" borderId="2" applyAlignment="1" pivotButton="0" quotePrefix="0" xfId="48">
      <alignment vertical="center"/>
    </xf>
    <xf numFmtId="164" fontId="45" fillId="0" borderId="32" pivotButton="0" quotePrefix="0" xfId="0"/>
    <xf numFmtId="164" fontId="50" fillId="0" borderId="2" pivotButton="0" quotePrefix="0" xfId="1"/>
    <xf numFmtId="165" fontId="49" fillId="0" borderId="2" applyAlignment="1" pivotButton="0" quotePrefix="0" xfId="46">
      <alignment horizontal="left" vertical="center"/>
    </xf>
    <xf numFmtId="164" fontId="49" fillId="0" borderId="2" applyAlignment="1" pivotButton="0" quotePrefix="0" xfId="48">
      <alignment vertical="center"/>
    </xf>
    <xf numFmtId="164" fontId="50" fillId="0" borderId="32" pivotButton="0" quotePrefix="0" xfId="0"/>
    <xf numFmtId="164" fontId="19" fillId="0" borderId="32" pivotButton="0" quotePrefix="0" xfId="0"/>
    <xf numFmtId="0" fontId="23" fillId="41" borderId="62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29" pivotButton="0" quotePrefix="0" xfId="0"/>
    <xf numFmtId="164" fontId="20" fillId="41" borderId="15" applyAlignment="1" pivotButton="0" quotePrefix="0" xfId="1">
      <alignment vertical="center"/>
    </xf>
    <xf numFmtId="165" fontId="20" fillId="41" borderId="15" applyAlignment="1" pivotButton="0" quotePrefix="0" xfId="0">
      <alignment vertical="center"/>
    </xf>
    <xf numFmtId="164" fontId="20" fillId="41" borderId="15" applyAlignment="1" pivotButton="0" quotePrefix="0" xfId="0">
      <alignment vertical="center"/>
    </xf>
    <xf numFmtId="164" fontId="20" fillId="41" borderId="24" applyAlignment="1" pivotButton="0" quotePrefix="0" xfId="0">
      <alignment vertical="center"/>
    </xf>
    <xf numFmtId="164" fontId="20" fillId="0" borderId="33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0" fontId="56" fillId="57" borderId="26" applyAlignment="1" pivotButton="0" quotePrefix="0" xfId="0">
      <alignment horizontal="center" vertical="center"/>
    </xf>
    <xf numFmtId="0" fontId="34" fillId="37" borderId="20" applyAlignment="1" pivotButton="0" quotePrefix="0" xfId="45">
      <alignment horizontal="center" vertical="center" textRotation="255"/>
    </xf>
    <xf numFmtId="0" fontId="26" fillId="57" borderId="27" applyAlignment="1" pivotButton="0" quotePrefix="0" xfId="0">
      <alignment horizontal="center" vertical="center" wrapText="1"/>
    </xf>
    <xf numFmtId="0" fontId="38" fillId="57" borderId="20" applyAlignment="1" pivotButton="0" quotePrefix="0" xfId="0">
      <alignment horizontal="center" vertical="center" wrapText="1"/>
    </xf>
    <xf numFmtId="0" fontId="54" fillId="57" borderId="20" applyAlignment="1" pivotButton="0" quotePrefix="0" xfId="0">
      <alignment horizontal="center" vertical="center" wrapText="1"/>
    </xf>
    <xf numFmtId="9" fontId="61" fillId="57" borderId="20" applyAlignment="1" pivotButton="0" quotePrefix="0" xfId="0">
      <alignment horizontal="center" vertical="center" wrapText="1"/>
    </xf>
    <xf numFmtId="0" fontId="55" fillId="57" borderId="20" applyAlignment="1" pivotButton="0" quotePrefix="0" xfId="0">
      <alignment horizontal="center" vertical="center" wrapText="1"/>
    </xf>
    <xf numFmtId="0" fontId="56" fillId="57" borderId="20" applyAlignment="1" pivotButton="0" quotePrefix="0" xfId="0">
      <alignment horizontal="center" vertical="center" wrapText="1"/>
    </xf>
    <xf numFmtId="0" fontId="39" fillId="41" borderId="20" applyAlignment="1" pivotButton="0" quotePrefix="0" xfId="0">
      <alignment horizontal="center" vertical="center" wrapText="1"/>
    </xf>
    <xf numFmtId="164" fontId="36" fillId="55" borderId="35" applyAlignment="1" pivotButton="0" quotePrefix="0" xfId="1">
      <alignment horizontal="center" vertical="center" wrapText="1"/>
    </xf>
    <xf numFmtId="0" fontId="55" fillId="56" borderId="20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54" pivotButton="0" quotePrefix="0" xfId="0"/>
    <xf numFmtId="0" fontId="0" fillId="0" borderId="61" pivotButton="0" quotePrefix="0" xfId="0"/>
    <xf numFmtId="0" fontId="0" fillId="0" borderId="55" pivotButton="0" quotePrefix="0" xfId="0"/>
    <xf numFmtId="0" fontId="0" fillId="0" borderId="56" pivotButton="0" quotePrefix="0" xfId="0"/>
    <xf numFmtId="166" fontId="23" fillId="0" borderId="53" applyAlignment="1" pivotButton="0" quotePrefix="0" xfId="0">
      <alignment horizontal="center" vertical="center" wrapText="1"/>
    </xf>
    <xf numFmtId="167" fontId="23" fillId="0" borderId="14" applyAlignment="1" pivotButton="0" quotePrefix="0" xfId="46">
      <alignment horizontal="left" vertical="center"/>
    </xf>
    <xf numFmtId="9" fontId="23" fillId="0" borderId="14" applyAlignment="1" pivotButton="0" quotePrefix="0" xfId="46">
      <alignment horizontal="left" vertical="center"/>
    </xf>
    <xf numFmtId="167" fontId="23" fillId="0" borderId="14" applyAlignment="1" pivotButton="0" quotePrefix="0" xfId="45">
      <alignment horizontal="center" vertical="center" wrapText="1"/>
    </xf>
    <xf numFmtId="167" fontId="47" fillId="0" borderId="14" applyAlignment="1" pivotButton="0" quotePrefix="0" xfId="0">
      <alignment vertical="center"/>
    </xf>
    <xf numFmtId="167" fontId="23" fillId="0" borderId="14" applyAlignment="1" pivotButton="0" quotePrefix="0" xfId="1">
      <alignment vertical="center"/>
    </xf>
    <xf numFmtId="167" fontId="47" fillId="0" borderId="57" applyAlignment="1" pivotButton="0" quotePrefix="0" xfId="0">
      <alignment vertical="center"/>
    </xf>
    <xf numFmtId="167" fontId="47" fillId="0" borderId="35" applyAlignment="1" pivotButton="0" quotePrefix="0" xfId="0">
      <alignment vertical="center"/>
    </xf>
    <xf numFmtId="165" fontId="23" fillId="0" borderId="14" applyAlignment="1" pivotButton="0" quotePrefix="0" xfId="46">
      <alignment horizontal="left" vertical="center"/>
    </xf>
    <xf numFmtId="164" fontId="23" fillId="0" borderId="14" applyAlignment="1" pivotButton="0" quotePrefix="0" xfId="45">
      <alignment horizontal="center" vertical="center" wrapText="1"/>
    </xf>
    <xf numFmtId="164" fontId="47" fillId="0" borderId="14" applyAlignment="1" pivotButton="0" quotePrefix="0" xfId="0">
      <alignment vertical="center"/>
    </xf>
    <xf numFmtId="164" fontId="23" fillId="0" borderId="14" applyAlignment="1" pivotButton="0" quotePrefix="0" xfId="1">
      <alignment vertical="center"/>
    </xf>
    <xf numFmtId="164" fontId="47" fillId="0" borderId="57" applyAlignment="1" pivotButton="0" quotePrefix="0" xfId="0">
      <alignment vertical="center"/>
    </xf>
    <xf numFmtId="164" fontId="47" fillId="0" borderId="35" applyAlignment="1" pivotButton="0" quotePrefix="0" xfId="0">
      <alignment vertical="center"/>
    </xf>
    <xf numFmtId="165" fontId="63" fillId="0" borderId="2" applyAlignment="1" pivotButton="0" quotePrefix="0" xfId="46">
      <alignment horizontal="left" vertical="center"/>
    </xf>
    <xf numFmtId="164" fontId="63" fillId="0" borderId="2" applyAlignment="1" pivotButton="0" quotePrefix="0" xfId="45">
      <alignment horizontal="center" vertical="center" wrapText="1"/>
    </xf>
    <xf numFmtId="164" fontId="65" fillId="0" borderId="2" applyAlignment="1" pivotButton="0" quotePrefix="0" xfId="0">
      <alignment vertical="center"/>
    </xf>
    <xf numFmtId="164" fontId="63" fillId="0" borderId="2" applyAlignment="1" pivotButton="0" quotePrefix="0" xfId="1">
      <alignment vertical="center"/>
    </xf>
    <xf numFmtId="164" fontId="65" fillId="0" borderId="22" applyAlignment="1" pivotButton="0" quotePrefix="0" xfId="0">
      <alignment vertical="center"/>
    </xf>
    <xf numFmtId="164" fontId="65" fillId="0" borderId="32" applyAlignment="1" pivotButton="0" quotePrefix="0" xfId="0">
      <alignment vertical="center"/>
    </xf>
    <xf numFmtId="165" fontId="63" fillId="0" borderId="1" applyAlignment="1" pivotButton="0" quotePrefix="0" xfId="46">
      <alignment horizontal="left" vertical="center"/>
    </xf>
    <xf numFmtId="164" fontId="63" fillId="0" borderId="1" applyAlignment="1" pivotButton="0" quotePrefix="0" xfId="45">
      <alignment horizontal="center" vertical="center" wrapText="1"/>
    </xf>
    <xf numFmtId="164" fontId="65" fillId="0" borderId="1" applyAlignment="1" pivotButton="0" quotePrefix="0" xfId="0">
      <alignment vertical="center"/>
    </xf>
    <xf numFmtId="164" fontId="63" fillId="0" borderId="1" applyAlignment="1" pivotButton="0" quotePrefix="0" xfId="1">
      <alignment vertical="center"/>
    </xf>
    <xf numFmtId="164" fontId="65" fillId="0" borderId="42" applyAlignment="1" pivotButton="0" quotePrefix="0" xfId="0">
      <alignment vertical="center"/>
    </xf>
    <xf numFmtId="164" fontId="65" fillId="0" borderId="44" applyAlignment="1" pivotButton="0" quotePrefix="0" xfId="0">
      <alignment vertical="center"/>
    </xf>
    <xf numFmtId="0" fontId="35" fillId="38" borderId="20" applyAlignment="1" pivotButton="0" quotePrefix="0" xfId="45">
      <alignment horizontal="center" vertical="center" textRotation="255"/>
    </xf>
    <xf numFmtId="165" fontId="25" fillId="36" borderId="27" applyAlignment="1" pivotButton="0" quotePrefix="0" xfId="46">
      <alignment vertical="center"/>
    </xf>
    <xf numFmtId="165" fontId="25" fillId="36" borderId="27" applyAlignment="1" pivotButton="0" quotePrefix="0" xfId="46">
      <alignment horizontal="left" vertical="center"/>
    </xf>
    <xf numFmtId="164" fontId="48" fillId="36" borderId="27" applyAlignment="1" pivotButton="0" quotePrefix="0" xfId="0">
      <alignment vertical="center"/>
    </xf>
    <xf numFmtId="164" fontId="25" fillId="36" borderId="27" applyAlignment="1" pivotButton="0" quotePrefix="0" xfId="1">
      <alignment vertical="center"/>
    </xf>
    <xf numFmtId="164" fontId="48" fillId="36" borderId="20" applyAlignment="1" pivotButton="0" quotePrefix="0" xfId="0">
      <alignment vertical="center"/>
    </xf>
    <xf numFmtId="165" fontId="63" fillId="0" borderId="23" applyAlignment="1" pivotButton="0" quotePrefix="0" xfId="46">
      <alignment vertical="center"/>
    </xf>
    <xf numFmtId="165" fontId="63" fillId="0" borderId="23" applyAlignment="1" pivotButton="0" quotePrefix="0" xfId="46">
      <alignment horizontal="left" vertical="center"/>
    </xf>
    <xf numFmtId="164" fontId="65" fillId="0" borderId="23" applyAlignment="1" pivotButton="0" quotePrefix="0" xfId="0">
      <alignment vertical="center"/>
    </xf>
    <xf numFmtId="164" fontId="66" fillId="0" borderId="23" applyAlignment="1" pivotButton="0" quotePrefix="0" xfId="0">
      <alignment vertical="center"/>
    </xf>
    <xf numFmtId="164" fontId="64" fillId="0" borderId="23" applyAlignment="1" pivotButton="0" quotePrefix="0" xfId="1">
      <alignment vertical="center"/>
    </xf>
    <xf numFmtId="164" fontId="66" fillId="0" borderId="59" applyAlignment="1" pivotButton="0" quotePrefix="0" xfId="0">
      <alignment vertical="center"/>
    </xf>
    <xf numFmtId="164" fontId="66" fillId="0" borderId="48" applyAlignment="1" pivotButton="0" quotePrefix="0" xfId="0">
      <alignment vertical="center"/>
    </xf>
    <xf numFmtId="164" fontId="65" fillId="0" borderId="59" applyAlignment="1" pivotButton="0" quotePrefix="0" xfId="1">
      <alignment vertical="center"/>
    </xf>
    <xf numFmtId="164" fontId="65" fillId="0" borderId="23" applyAlignment="1" pivotButton="0" quotePrefix="0" xfId="1">
      <alignment vertical="center"/>
    </xf>
    <xf numFmtId="164" fontId="65" fillId="0" borderId="23" applyAlignment="1" pivotButton="0" quotePrefix="0" xfId="1">
      <alignment horizontal="left" vertical="center"/>
    </xf>
    <xf numFmtId="164" fontId="59" fillId="0" borderId="59" applyAlignment="1" pivotButton="0" quotePrefix="0" xfId="1">
      <alignment vertical="center"/>
    </xf>
    <xf numFmtId="164" fontId="59" fillId="0" borderId="23" applyAlignment="1" pivotButton="0" quotePrefix="0" xfId="1">
      <alignment vertical="center"/>
    </xf>
    <xf numFmtId="164" fontId="59" fillId="0" borderId="23" applyAlignment="1" pivotButton="0" quotePrefix="0" xfId="1">
      <alignment horizontal="left" vertical="center"/>
    </xf>
    <xf numFmtId="165" fontId="57" fillId="0" borderId="23" applyAlignment="1" pivotButton="0" quotePrefix="0" xfId="46">
      <alignment vertical="center"/>
    </xf>
    <xf numFmtId="165" fontId="57" fillId="0" borderId="23" applyAlignment="1" pivotButton="0" quotePrefix="0" xfId="46">
      <alignment horizontal="left" vertical="center"/>
    </xf>
    <xf numFmtId="164" fontId="59" fillId="0" borderId="23" applyAlignment="1" pivotButton="0" quotePrefix="0" xfId="0">
      <alignment vertical="center"/>
    </xf>
    <xf numFmtId="164" fontId="60" fillId="0" borderId="23" applyAlignment="1" pivotButton="0" quotePrefix="0" xfId="0">
      <alignment vertical="center"/>
    </xf>
    <xf numFmtId="164" fontId="58" fillId="0" borderId="23" applyAlignment="1" pivotButton="0" quotePrefix="0" xfId="1">
      <alignment vertical="center"/>
    </xf>
    <xf numFmtId="164" fontId="60" fillId="0" borderId="59" applyAlignment="1" pivotButton="0" quotePrefix="0" xfId="0">
      <alignment vertical="center"/>
    </xf>
    <xf numFmtId="164" fontId="60" fillId="0" borderId="48" applyAlignment="1" pivotButton="0" quotePrefix="0" xfId="0">
      <alignment vertical="center"/>
    </xf>
    <xf numFmtId="165" fontId="25" fillId="59" borderId="27" applyAlignment="1" pivotButton="0" quotePrefix="0" xfId="46">
      <alignment vertical="center"/>
    </xf>
    <xf numFmtId="165" fontId="25" fillId="59" borderId="27" applyAlignment="1" pivotButton="0" quotePrefix="0" xfId="46">
      <alignment horizontal="left" vertical="center"/>
    </xf>
    <xf numFmtId="164" fontId="48" fillId="59" borderId="27" applyAlignment="1" pivotButton="0" quotePrefix="0" xfId="0">
      <alignment vertical="center"/>
    </xf>
    <xf numFmtId="164" fontId="25" fillId="59" borderId="27" applyAlignment="1" pivotButton="0" quotePrefix="0" xfId="1">
      <alignment vertical="center"/>
    </xf>
    <xf numFmtId="164" fontId="48" fillId="59" borderId="20" applyAlignment="1" pivotButton="0" quotePrefix="0" xfId="0">
      <alignment vertical="center"/>
    </xf>
    <xf numFmtId="164" fontId="65" fillId="0" borderId="57" applyAlignment="1" pivotButton="0" quotePrefix="0" xfId="1">
      <alignment vertical="center"/>
    </xf>
    <xf numFmtId="164" fontId="65" fillId="0" borderId="14" applyAlignment="1" pivotButton="0" quotePrefix="0" xfId="1">
      <alignment vertical="center"/>
    </xf>
    <xf numFmtId="164" fontId="65" fillId="0" borderId="14" applyAlignment="1" pivotButton="0" quotePrefix="0" xfId="1">
      <alignment horizontal="left" vertical="center"/>
    </xf>
    <xf numFmtId="165" fontId="63" fillId="0" borderId="14" applyAlignment="1" pivotButton="0" quotePrefix="0" xfId="46">
      <alignment vertical="center"/>
    </xf>
    <xf numFmtId="165" fontId="63" fillId="0" borderId="14" applyAlignment="1" pivotButton="0" quotePrefix="0" xfId="46">
      <alignment horizontal="left" vertical="center"/>
    </xf>
    <xf numFmtId="164" fontId="65" fillId="0" borderId="14" applyAlignment="1" pivotButton="0" quotePrefix="0" xfId="0">
      <alignment vertical="center"/>
    </xf>
    <xf numFmtId="164" fontId="66" fillId="0" borderId="14" applyAlignment="1" pivotButton="0" quotePrefix="0" xfId="0">
      <alignment vertical="center"/>
    </xf>
    <xf numFmtId="164" fontId="64" fillId="0" borderId="14" applyAlignment="1" pivotButton="0" quotePrefix="0" xfId="1">
      <alignment vertical="center"/>
    </xf>
    <xf numFmtId="164" fontId="66" fillId="0" borderId="57" applyAlignment="1" pivotButton="0" quotePrefix="0" xfId="0">
      <alignment vertical="center"/>
    </xf>
    <xf numFmtId="164" fontId="66" fillId="0" borderId="61" applyAlignment="1" pivotButton="0" quotePrefix="0" xfId="0">
      <alignment vertical="center"/>
    </xf>
    <xf numFmtId="164" fontId="65" fillId="0" borderId="22" applyAlignment="1" pivotButton="0" quotePrefix="0" xfId="1">
      <alignment vertical="center"/>
    </xf>
    <xf numFmtId="164" fontId="65" fillId="0" borderId="2" applyAlignment="1" pivotButton="0" quotePrefix="0" xfId="1">
      <alignment vertical="center"/>
    </xf>
    <xf numFmtId="164" fontId="65" fillId="0" borderId="2" applyAlignment="1" pivotButton="0" quotePrefix="0" xfId="1">
      <alignment horizontal="left" vertical="center"/>
    </xf>
    <xf numFmtId="165" fontId="63" fillId="0" borderId="2" applyAlignment="1" pivotButton="0" quotePrefix="0" xfId="46">
      <alignment vertical="center"/>
    </xf>
    <xf numFmtId="164" fontId="66" fillId="0" borderId="2" applyAlignment="1" pivotButton="0" quotePrefix="0" xfId="0">
      <alignment vertical="center"/>
    </xf>
    <xf numFmtId="164" fontId="64" fillId="0" borderId="2" applyAlignment="1" pivotButton="0" quotePrefix="0" xfId="1">
      <alignment vertical="center"/>
    </xf>
    <xf numFmtId="164" fontId="66" fillId="0" borderId="22" applyAlignment="1" pivotButton="0" quotePrefix="0" xfId="0">
      <alignment vertical="center"/>
    </xf>
    <xf numFmtId="164" fontId="66" fillId="0" borderId="32" applyAlignment="1" pivotButton="0" quotePrefix="0" xfId="0">
      <alignment vertical="center"/>
    </xf>
    <xf numFmtId="164" fontId="65" fillId="0" borderId="42" applyAlignment="1" pivotButton="0" quotePrefix="0" xfId="1">
      <alignment vertical="center"/>
    </xf>
    <xf numFmtId="164" fontId="65" fillId="0" borderId="1" applyAlignment="1" pivotButton="0" quotePrefix="0" xfId="1">
      <alignment vertical="center"/>
    </xf>
    <xf numFmtId="164" fontId="65" fillId="0" borderId="1" applyAlignment="1" pivotButton="0" quotePrefix="0" xfId="1">
      <alignment horizontal="left" vertical="center"/>
    </xf>
    <xf numFmtId="165" fontId="63" fillId="0" borderId="1" applyAlignment="1" pivotButton="0" quotePrefix="0" xfId="46">
      <alignment vertical="center"/>
    </xf>
    <xf numFmtId="164" fontId="66" fillId="0" borderId="1" applyAlignment="1" pivotButton="0" quotePrefix="0" xfId="0">
      <alignment vertical="center"/>
    </xf>
    <xf numFmtId="164" fontId="64" fillId="0" borderId="1" applyAlignment="1" pivotButton="0" quotePrefix="0" xfId="1">
      <alignment vertical="center"/>
    </xf>
    <xf numFmtId="164" fontId="66" fillId="0" borderId="42" applyAlignment="1" pivotButton="0" quotePrefix="0" xfId="0">
      <alignment vertical="center"/>
    </xf>
    <xf numFmtId="164" fontId="66" fillId="0" borderId="44" applyAlignment="1" pivotButton="0" quotePrefix="0" xfId="0">
      <alignment vertical="center"/>
    </xf>
    <xf numFmtId="164" fontId="48" fillId="59" borderId="58" applyAlignment="1" pivotButton="0" quotePrefix="0" xfId="1">
      <alignment vertical="center"/>
    </xf>
    <xf numFmtId="164" fontId="48" fillId="59" borderId="46" applyAlignment="1" pivotButton="0" quotePrefix="0" xfId="1">
      <alignment vertical="center"/>
    </xf>
    <xf numFmtId="164" fontId="48" fillId="59" borderId="46" applyAlignment="1" pivotButton="0" quotePrefix="0" xfId="1">
      <alignment horizontal="left" vertical="center"/>
    </xf>
    <xf numFmtId="165" fontId="25" fillId="59" borderId="46" applyAlignment="1" pivotButton="0" quotePrefix="0" xfId="46">
      <alignment vertical="center"/>
    </xf>
    <xf numFmtId="165" fontId="25" fillId="59" borderId="46" applyAlignment="1" pivotButton="0" quotePrefix="0" xfId="46">
      <alignment horizontal="left" vertical="center"/>
    </xf>
    <xf numFmtId="164" fontId="48" fillId="59" borderId="46" applyAlignment="1" pivotButton="0" quotePrefix="0" xfId="0">
      <alignment vertical="center"/>
    </xf>
    <xf numFmtId="164" fontId="25" fillId="59" borderId="46" applyAlignment="1" pivotButton="0" quotePrefix="0" xfId="1">
      <alignment vertical="center"/>
    </xf>
    <xf numFmtId="164" fontId="48" fillId="59" borderId="58" applyAlignment="1" pivotButton="0" quotePrefix="0" xfId="0">
      <alignment vertical="center"/>
    </xf>
    <xf numFmtId="164" fontId="48" fillId="60" borderId="58" applyAlignment="1" pivotButton="0" quotePrefix="0" xfId="1">
      <alignment vertical="center"/>
    </xf>
    <xf numFmtId="164" fontId="48" fillId="60" borderId="46" applyAlignment="1" pivotButton="0" quotePrefix="0" xfId="1">
      <alignment vertical="center"/>
    </xf>
    <xf numFmtId="164" fontId="48" fillId="60" borderId="46" applyAlignment="1" pivotButton="0" quotePrefix="0" xfId="1">
      <alignment horizontal="left" vertical="center"/>
    </xf>
    <xf numFmtId="165" fontId="25" fillId="60" borderId="46" applyAlignment="1" pivotButton="0" quotePrefix="0" xfId="46">
      <alignment vertical="center"/>
    </xf>
    <xf numFmtId="165" fontId="25" fillId="60" borderId="46" applyAlignment="1" pivotButton="0" quotePrefix="0" xfId="46">
      <alignment horizontal="left" vertical="center"/>
    </xf>
    <xf numFmtId="164" fontId="48" fillId="60" borderId="46" applyAlignment="1" pivotButton="0" quotePrefix="0" xfId="0">
      <alignment vertical="center"/>
    </xf>
    <xf numFmtId="164" fontId="25" fillId="60" borderId="46" applyAlignment="1" pivotButton="0" quotePrefix="0" xfId="1">
      <alignment vertical="center"/>
    </xf>
    <xf numFmtId="164" fontId="48" fillId="60" borderId="58" applyAlignment="1" pivotButton="0" quotePrefix="0" xfId="0">
      <alignment vertical="center"/>
    </xf>
    <xf numFmtId="164" fontId="48" fillId="60" borderId="20" applyAlignment="1" pivotButton="0" quotePrefix="0" xfId="0">
      <alignment vertical="center"/>
    </xf>
    <xf numFmtId="165" fontId="23" fillId="0" borderId="46" applyAlignment="1" pivotButton="0" quotePrefix="0" xfId="46">
      <alignment horizontal="left" vertical="center"/>
    </xf>
    <xf numFmtId="164" fontId="48" fillId="36" borderId="27" applyAlignment="1" pivotButton="0" quotePrefix="0" xfId="1">
      <alignment vertical="center"/>
    </xf>
    <xf numFmtId="164" fontId="48" fillId="36" borderId="27" applyAlignment="1" pivotButton="0" quotePrefix="0" xfId="1">
      <alignment horizontal="left" vertical="center"/>
    </xf>
    <xf numFmtId="164" fontId="47" fillId="0" borderId="57" applyAlignment="1" pivotButton="0" quotePrefix="0" xfId="1">
      <alignment vertical="center"/>
    </xf>
    <xf numFmtId="164" fontId="47" fillId="0" borderId="22" applyAlignment="1" pivotButton="0" quotePrefix="0" xfId="1">
      <alignment vertical="center"/>
    </xf>
    <xf numFmtId="164" fontId="65" fillId="0" borderId="50" applyAlignment="1" pivotButton="0" quotePrefix="0" xfId="1">
      <alignment horizontal="center" vertical="center"/>
    </xf>
    <xf numFmtId="164" fontId="65" fillId="0" borderId="51" applyAlignment="1" pivotButton="0" quotePrefix="0" xfId="1">
      <alignment horizontal="center" vertical="center"/>
    </xf>
    <xf numFmtId="164" fontId="47" fillId="0" borderId="42" applyAlignment="1" pivotButton="0" quotePrefix="0" xfId="1">
      <alignment vertical="center"/>
    </xf>
    <xf numFmtId="164" fontId="66" fillId="0" borderId="33" applyAlignment="1" pivotButton="0" quotePrefix="0" xfId="0">
      <alignment vertical="center"/>
    </xf>
    <xf numFmtId="164" fontId="25" fillId="41" borderId="4" applyAlignment="1" pivotButton="0" quotePrefix="0" xfId="1">
      <alignment vertical="center"/>
    </xf>
    <xf numFmtId="165" fontId="25" fillId="41" borderId="46" applyAlignment="1" pivotButton="0" quotePrefix="0" xfId="0">
      <alignment vertical="center"/>
    </xf>
    <xf numFmtId="164" fontId="25" fillId="41" borderId="46" applyAlignment="1" pivotButton="0" quotePrefix="0" xfId="0">
      <alignment vertical="center"/>
    </xf>
    <xf numFmtId="165" fontId="25" fillId="41" borderId="49" applyAlignment="1" pivotButton="0" quotePrefix="0" xfId="0">
      <alignment vertical="center"/>
    </xf>
    <xf numFmtId="164" fontId="25" fillId="41" borderId="26" applyAlignment="1" pivotButton="0" quotePrefix="0" xfId="0">
      <alignment vertical="center"/>
    </xf>
    <xf numFmtId="164" fontId="25" fillId="41" borderId="40" applyAlignment="1" pivotButton="0" quotePrefix="0" xfId="0">
      <alignment vertical="center"/>
    </xf>
  </cellXfs>
  <cellStyles count="49">
    <cellStyle name="Normal" xfId="0" builtinId="0"/>
    <cellStyle name="Moneda" xfId="1" builtinId="4"/>
    <cellStyle name="Moneda 10 2 3 2" xfId="2"/>
    <cellStyle name="Encabezado 1" xfId="3" builtinId="16"/>
    <cellStyle name="Título 2" xfId="4" builtinId="17"/>
    <cellStyle name="Título 3" xfId="5" builtinId="18"/>
    <cellStyle name="Encabezado 4" xfId="6" builtinId="19"/>
    <cellStyle name="Bueno" xfId="7" builtinId="26"/>
    <cellStyle name="Incorrecto" xfId="8" builtinId="27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Énfasis2" xfId="21" builtinId="33"/>
    <cellStyle name="20% - Énfasis2" xfId="22" builtinId="34"/>
    <cellStyle name="40% - Énfasis2" xfId="23" builtinId="35"/>
    <cellStyle name="Énfasis3" xfId="24" builtinId="37"/>
    <cellStyle name="20% - Énfasis3" xfId="25" builtinId="38"/>
    <cellStyle name="40% - Énfasis3" xfId="26" builtinId="39"/>
    <cellStyle name="Énfasis4" xfId="27" builtinId="41"/>
    <cellStyle name="20% - Énfasis4" xfId="28" builtinId="42"/>
    <cellStyle name="40% - Énfasis4" xfId="29" builtinId="43"/>
    <cellStyle name="Énfasis5" xfId="30" builtinId="45"/>
    <cellStyle name="20% - Énfasis5" xfId="31" builtinId="46"/>
    <cellStyle name="40% - Énfasis5" xfId="32" builtinId="47"/>
    <cellStyle name="Énfasis6" xfId="33" builtinId="49"/>
    <cellStyle name="20% - Énfasis6" xfId="34" builtinId="50"/>
    <cellStyle name="40% - Énfasis6" xfId="35" builtinId="51"/>
    <cellStyle name="Título 4" xfId="36"/>
    <cellStyle name="Neutral 2" xfId="37"/>
    <cellStyle name="60% - Énfasis1 2" xfId="38"/>
    <cellStyle name="60% - Énfasis2 2" xfId="39"/>
    <cellStyle name="60% - Énfasis3 2" xfId="40"/>
    <cellStyle name="60% - Énfasis4 2" xfId="41"/>
    <cellStyle name="60% - Énfasis5 2" xfId="42"/>
    <cellStyle name="60% - Énfasis6 2" xfId="43"/>
    <cellStyle name="Normal 2" xfId="44"/>
    <cellStyle name="Normal 2 2" xfId="45"/>
    <cellStyle name="Moneda 10 2" xfId="46"/>
    <cellStyle name="Moneda 2 2" xfId="47"/>
    <cellStyle name="Normal 11" xfId="4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Marisol Mancía</author>
  </authors>
  <commentList>
    <comment ref="T7" authorId="0" shapeId="0">
      <text>
        <t>Marisol Mancía:
OC N° 08 $ 200.00
OC N° 54 $ 1065.00</t>
      </text>
    </comment>
    <comment ref="AM8" authorId="0" shapeId="0">
      <text>
        <t xml:space="preserve">Marisol Mancía:
$ 42.00 PAGADO CON CC
</t>
      </text>
    </comment>
    <comment ref="AI9" authorId="0" shapeId="0">
      <text>
        <t>Marisol Mancía:
MANO DE OBRA FIBRA DE VIDRIO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9"/>
  <sheetViews>
    <sheetView view="pageBreakPreview" zoomScale="90" zoomScaleNormal="124" zoomScaleSheetLayoutView="90" workbookViewId="0">
      <pane ySplit="5" topLeftCell="A6" activePane="bottomLeft" state="frozen"/>
      <selection pane="bottomLeft" activeCell="N1" sqref="N1"/>
      <selection pane="bottomLeft" activeCell="A6" sqref="A6"/>
      <selection pane="bottomRight" activeCell="P9" sqref="P9"/>
    </sheetView>
  </sheetViews>
  <sheetFormatPr baseColWidth="10" defaultColWidth="11.44140625" defaultRowHeight="13.8"/>
  <cols>
    <col width="11.44140625" customWidth="1" style="1" min="1" max="1"/>
    <col width="15.5546875" customWidth="1" style="1" min="2" max="2"/>
    <col width="6.109375" customWidth="1" style="1" min="3" max="3"/>
    <col width="12.6640625" customWidth="1" style="1" min="4" max="4"/>
    <col hidden="1" width="12.6640625" customWidth="1" style="1" min="5" max="5"/>
    <col width="5.5546875" customWidth="1" style="21" min="6" max="6"/>
    <col width="6.5546875" customWidth="1" style="1" min="7" max="7"/>
    <col hidden="1" width="12.6640625" customWidth="1" style="1" min="8" max="8"/>
    <col width="12.6640625" customWidth="1" style="1" min="9" max="9"/>
    <col hidden="1" width="12.6640625" customWidth="1" style="1" min="10" max="12"/>
    <col width="14.5546875" customWidth="1" style="1" min="13" max="13"/>
    <col width="13.33203125" customWidth="1" style="1" min="14" max="14"/>
    <col width="4.88671875" customWidth="1" style="1" min="15" max="15"/>
    <col width="14.109375" customWidth="1" style="1" min="16" max="16"/>
    <col width="4.5546875" customWidth="1" style="1" min="17" max="17"/>
    <col width="10" customWidth="1" style="1" min="18" max="18"/>
    <col width="4.6640625" customWidth="1" style="1" min="19" max="19"/>
    <col width="13.5546875" customWidth="1" style="1" min="20" max="20"/>
    <col width="4.5546875" customWidth="1" style="1" min="21" max="21"/>
    <col width="10.6640625" customWidth="1" style="1" min="22" max="22"/>
    <col width="4.33203125" customWidth="1" style="1" min="23" max="23"/>
    <col width="11.44140625" customWidth="1" style="1" min="24" max="24"/>
    <col width="14.33203125" customWidth="1" style="1" min="25" max="25"/>
    <col width="4.6640625" customWidth="1" style="1" min="26" max="26"/>
    <col width="12.44140625" customWidth="1" style="1" min="27" max="27"/>
    <col width="5.5546875" customWidth="1" style="1" min="28" max="28"/>
    <col width="13.109375" customWidth="1" style="1" min="29" max="29"/>
    <col width="5.33203125" customWidth="1" style="1" min="30" max="30"/>
    <col width="11.88671875" customWidth="1" style="1" min="31" max="31"/>
    <col width="5" customWidth="1" style="1" min="32" max="32"/>
    <col width="11.88671875" customWidth="1" style="1" min="33" max="33"/>
    <col width="4.44140625" customWidth="1" style="1" min="34" max="34"/>
    <col width="11.44140625" customWidth="1" style="1" min="35" max="35"/>
    <col width="6.88671875" customWidth="1" style="1" min="36" max="36"/>
    <col width="11.44140625" customWidth="1" style="1" min="37" max="37"/>
    <col width="4.5546875" customWidth="1" style="1" min="38" max="38"/>
    <col width="11.44140625" customWidth="1" style="1" min="39" max="39"/>
    <col width="5.33203125" customWidth="1" style="1" min="40" max="40"/>
    <col width="11.44140625" customWidth="1" style="1" min="41" max="41"/>
    <col width="5" customWidth="1" style="1" min="42" max="42"/>
    <col width="11.44140625" customWidth="1" style="1" min="43" max="43"/>
    <col width="5" customWidth="1" style="1" min="44" max="44"/>
    <col width="11.44140625" customWidth="1" style="1" min="45" max="45"/>
    <col width="5.88671875" customWidth="1" style="1" min="46" max="46"/>
    <col width="11.44140625" customWidth="1" style="1" min="47" max="47"/>
    <col width="4.44140625" customWidth="1" style="1" min="48" max="48"/>
    <col width="11.44140625" customWidth="1" style="1" min="49" max="49"/>
    <col width="4.5546875" customWidth="1" style="1" min="50" max="50"/>
    <col width="11.44140625" customWidth="1" style="1" min="51" max="51"/>
    <col width="14.109375" customWidth="1" style="1" min="52" max="52"/>
    <col width="13" customWidth="1" style="1" min="53" max="53"/>
    <col width="14" bestFit="1" customWidth="1" style="1" min="54" max="54"/>
    <col width="11.44140625" customWidth="1" style="1" min="55" max="16384"/>
  </cols>
  <sheetData>
    <row r="1" ht="21" customFormat="1" customHeight="1" s="22">
      <c r="A1" s="160" t="n"/>
      <c r="B1" s="408" t="inlineStr">
        <is>
          <t>L&amp;M INVERSIONES, S.A. DE C.V.</t>
        </is>
      </c>
    </row>
    <row r="2" ht="21" customFormat="1" customHeight="1" s="22">
      <c r="A2" s="161" t="n"/>
      <c r="B2" s="409" t="inlineStr">
        <is>
          <t>VEHICULOS IMPORTADOS</t>
        </is>
      </c>
    </row>
    <row r="3" ht="21.6" customFormat="1" customHeight="1" s="22" thickBot="1">
      <c r="B3" s="410" t="inlineStr">
        <is>
          <t>COMPRA DE VEHICULOS COPART INC</t>
        </is>
      </c>
    </row>
    <row r="4" ht="66.59999999999999" customHeight="1" thickBot="1">
      <c r="A4" s="401" t="inlineStr">
        <is>
          <t>No.</t>
        </is>
      </c>
      <c r="B4" s="31" t="n"/>
      <c r="C4" s="32" t="n"/>
      <c r="D4" s="50" t="inlineStr">
        <is>
          <t xml:space="preserve">FECHA DE ADQUISICION </t>
        </is>
      </c>
      <c r="E4" s="51" t="inlineStr">
        <is>
          <t>CLASE</t>
        </is>
      </c>
      <c r="F4" s="52" t="inlineStr">
        <is>
          <t>#</t>
        </is>
      </c>
      <c r="G4" s="53" t="inlineStr">
        <is>
          <t xml:space="preserve">AÑO </t>
        </is>
      </c>
      <c r="H4" s="53" t="inlineStr">
        <is>
          <t xml:space="preserve">PLACA </t>
        </is>
      </c>
      <c r="I4" s="54" t="inlineStr">
        <is>
          <t>MARCA</t>
        </is>
      </c>
      <c r="J4" s="51" t="inlineStr">
        <is>
          <t>TIPO</t>
        </is>
      </c>
      <c r="K4" s="53" t="inlineStr">
        <is>
          <t xml:space="preserve">No. DE CHASIS </t>
        </is>
      </c>
      <c r="L4" s="53" t="inlineStr">
        <is>
          <t>No. DE MOTOR</t>
        </is>
      </c>
      <c r="M4" s="53" t="inlineStr">
        <is>
          <t>MODELO</t>
        </is>
      </c>
      <c r="N4" s="53" t="inlineStr">
        <is>
          <t>COLOR</t>
        </is>
      </c>
      <c r="O4" s="53" t="inlineStr">
        <is>
          <t>OC</t>
        </is>
      </c>
      <c r="P4" s="53" t="inlineStr">
        <is>
          <t>VALOR DE ADQUISICIÓN COPART</t>
        </is>
      </c>
      <c r="Q4" s="53" t="inlineStr">
        <is>
          <t>OC</t>
        </is>
      </c>
      <c r="R4" s="53" t="inlineStr">
        <is>
          <t>Comision Bancaria</t>
        </is>
      </c>
      <c r="S4" s="53" t="inlineStr">
        <is>
          <t>OC</t>
        </is>
      </c>
      <c r="T4" s="51" t="inlineStr">
        <is>
          <t>GRUA INTERNA USA INBAKCART IMPORT, S.A. DE C.V.</t>
        </is>
      </c>
      <c r="U4" s="53" t="inlineStr">
        <is>
          <t>OC</t>
        </is>
      </c>
      <c r="V4" s="55" t="inlineStr">
        <is>
          <t>PAGO COMPLEMENTARIO</t>
        </is>
      </c>
      <c r="W4" s="53" t="inlineStr">
        <is>
          <t>OC</t>
        </is>
      </c>
      <c r="X4" s="51" t="inlineStr">
        <is>
          <t>FEDEX</t>
        </is>
      </c>
      <c r="Y4" s="56" t="inlineStr">
        <is>
          <t>TOTAL USA</t>
        </is>
      </c>
      <c r="Z4" s="57" t="inlineStr">
        <is>
          <t>OC</t>
        </is>
      </c>
      <c r="AA4" s="58" t="inlineStr">
        <is>
          <t>GRUA, FLETE Y BL INBAKCART IMPORT, S.A. DE C.V.</t>
        </is>
      </c>
      <c r="AB4" s="57" t="inlineStr">
        <is>
          <t>OC</t>
        </is>
      </c>
      <c r="AC4" s="59" t="inlineStr">
        <is>
          <t>DECLARACION DE MARCANCIA</t>
        </is>
      </c>
      <c r="AD4" s="57" t="inlineStr">
        <is>
          <t>OC</t>
        </is>
      </c>
      <c r="AE4" s="464" t="inlineStr">
        <is>
          <t>SERVCIOS ADUANALES</t>
        </is>
      </c>
      <c r="AF4" s="57" t="inlineStr">
        <is>
          <t>OC</t>
        </is>
      </c>
      <c r="AG4" s="465" t="inlineStr">
        <is>
          <t>REPUESTOS</t>
        </is>
      </c>
      <c r="AH4" s="57" t="inlineStr">
        <is>
          <t>OC</t>
        </is>
      </c>
      <c r="AI4" s="465" t="inlineStr">
        <is>
          <t>ENDERZADO Y PINTURA</t>
        </is>
      </c>
      <c r="AJ4" s="57" t="inlineStr">
        <is>
          <t>OC</t>
        </is>
      </c>
      <c r="AK4" s="465" t="inlineStr">
        <is>
          <t>SERVICIOS MECANICOS</t>
        </is>
      </c>
      <c r="AL4" s="57" t="inlineStr">
        <is>
          <t>OC</t>
        </is>
      </c>
      <c r="AM4" s="465" t="inlineStr">
        <is>
          <t>GRUA LOCAL</t>
        </is>
      </c>
      <c r="AN4" s="57" t="inlineStr">
        <is>
          <t>OC</t>
        </is>
      </c>
      <c r="AO4" s="465" t="inlineStr">
        <is>
          <t xml:space="preserve">EMISION DE GASES </t>
        </is>
      </c>
      <c r="AP4" s="57" t="inlineStr">
        <is>
          <t>OC</t>
        </is>
      </c>
      <c r="AQ4" s="465" t="inlineStr">
        <is>
          <t>TAPICERIA</t>
        </is>
      </c>
      <c r="AR4" s="57" t="inlineStr">
        <is>
          <t>OC</t>
        </is>
      </c>
      <c r="AS4" s="465" t="inlineStr">
        <is>
          <t>LIMPIEZA Y PULIDA</t>
        </is>
      </c>
      <c r="AT4" s="57" t="inlineStr">
        <is>
          <t>OC</t>
        </is>
      </c>
      <c r="AU4" s="465" t="inlineStr">
        <is>
          <t>EXPERTICIAS</t>
        </is>
      </c>
      <c r="AV4" s="57" t="inlineStr">
        <is>
          <t>OC</t>
        </is>
      </c>
      <c r="AW4" s="465" t="inlineStr">
        <is>
          <t>TARJETA DE CIRCULACION Y PLACAS</t>
        </is>
      </c>
      <c r="AX4" s="57" t="inlineStr">
        <is>
          <t>OC</t>
        </is>
      </c>
      <c r="AY4" s="465" t="inlineStr">
        <is>
          <t>ALMACENADORA</t>
        </is>
      </c>
      <c r="AZ4" s="465" t="inlineStr">
        <is>
          <t xml:space="preserve">HONORARIOS </t>
        </is>
      </c>
      <c r="BA4" s="466" t="inlineStr">
        <is>
          <t>TOTAL ES</t>
        </is>
      </c>
      <c r="BB4" s="407" t="inlineStr">
        <is>
          <t xml:space="preserve">COSTO </t>
        </is>
      </c>
    </row>
    <row r="5" ht="18.6" customFormat="1" customHeight="1" s="30" thickBot="1">
      <c r="A5" s="467" t="n"/>
      <c r="B5" s="63" t="inlineStr">
        <is>
          <t xml:space="preserve"># LOTE </t>
        </is>
      </c>
      <c r="C5" s="64" t="n"/>
      <c r="D5" s="468" t="inlineStr">
        <is>
          <t>PAGOS USA</t>
        </is>
      </c>
      <c r="E5" s="469" t="n"/>
      <c r="F5" s="469" t="n"/>
      <c r="G5" s="469" t="n"/>
      <c r="H5" s="469" t="n"/>
      <c r="I5" s="469" t="n"/>
      <c r="J5" s="469" t="n"/>
      <c r="K5" s="469" t="n"/>
      <c r="L5" s="469" t="n"/>
      <c r="M5" s="469" t="n"/>
      <c r="N5" s="469" t="n"/>
      <c r="O5" s="469" t="n"/>
      <c r="P5" s="469" t="n"/>
      <c r="Q5" s="469" t="n"/>
      <c r="R5" s="469" t="n"/>
      <c r="S5" s="469" t="n"/>
      <c r="T5" s="469" t="n"/>
      <c r="U5" s="469" t="n"/>
      <c r="V5" s="469" t="n"/>
      <c r="W5" s="469" t="n"/>
      <c r="X5" s="469" t="n"/>
      <c r="Y5" s="470" t="n"/>
      <c r="Z5" s="471" t="inlineStr">
        <is>
          <t>PAGOS EL SALVADOR</t>
        </is>
      </c>
      <c r="AA5" s="469" t="n"/>
      <c r="AB5" s="469" t="n"/>
      <c r="AC5" s="469" t="n"/>
      <c r="AD5" s="469" t="n"/>
      <c r="AE5" s="469" t="n"/>
      <c r="AF5" s="469" t="n"/>
      <c r="AG5" s="469" t="n"/>
      <c r="AH5" s="469" t="n"/>
      <c r="AI5" s="469" t="n"/>
      <c r="AJ5" s="469" t="n"/>
      <c r="AK5" s="469" t="n"/>
      <c r="AL5" s="469" t="n"/>
      <c r="AM5" s="469" t="n"/>
      <c r="AN5" s="469" t="n"/>
      <c r="AO5" s="469" t="n"/>
      <c r="AP5" s="469" t="n"/>
      <c r="AQ5" s="469" t="n"/>
      <c r="AR5" s="469" t="n"/>
      <c r="AS5" s="469" t="n"/>
      <c r="AT5" s="469" t="n"/>
      <c r="AU5" s="469" t="n"/>
      <c r="AV5" s="469" t="n"/>
      <c r="AW5" s="469" t="n"/>
      <c r="AX5" s="469" t="n"/>
      <c r="AY5" s="469" t="n"/>
      <c r="AZ5" s="469" t="n"/>
      <c r="BA5" s="470" t="n"/>
      <c r="BB5" s="472" t="n"/>
    </row>
    <row r="6" ht="15.6" customHeight="1">
      <c r="A6" s="168" t="n">
        <v>1</v>
      </c>
      <c r="B6" s="76" t="inlineStr">
        <is>
          <t>SDAD</t>
        </is>
      </c>
      <c r="C6" s="418" t="n"/>
      <c r="D6" s="473" t="n">
        <v>46178</v>
      </c>
      <c r="E6" s="77" t="n"/>
      <c r="F6" s="78" t="n">
        <v>1</v>
      </c>
      <c r="G6" s="77" t="n">
        <v>2025</v>
      </c>
      <c r="H6" s="77" t="n"/>
      <c r="I6" s="45" t="inlineStr">
        <is>
          <t>HYUNDAI</t>
        </is>
      </c>
      <c r="J6" s="79" t="n"/>
      <c r="K6" s="79" t="n"/>
      <c r="L6" s="47" t="n"/>
      <c r="M6" s="79" t="inlineStr">
        <is>
          <t>ELANTRA</t>
        </is>
      </c>
      <c r="N6" s="79" t="inlineStr">
        <is>
          <t>BLANCO</t>
        </is>
      </c>
      <c r="O6" s="49" t="inlineStr"/>
      <c r="P6" s="474" t="n">
        <v>3500</v>
      </c>
      <c r="Q6" s="475" t="n"/>
      <c r="R6" s="476" t="n"/>
      <c r="S6" s="49" t="n"/>
      <c r="T6" s="474" t="n">
        <v>0</v>
      </c>
      <c r="U6" s="49" t="n"/>
      <c r="V6" s="475" t="n"/>
      <c r="W6" s="49" t="n"/>
      <c r="X6" s="475" t="n"/>
      <c r="Y6" s="477" t="n">
        <v>3500</v>
      </c>
      <c r="Z6" s="49" t="n"/>
      <c r="AA6" s="474" t="n">
        <v>0</v>
      </c>
      <c r="AB6" s="49" t="n"/>
      <c r="AC6" s="477" t="n">
        <v>0</v>
      </c>
      <c r="AD6" s="49" t="n"/>
      <c r="AE6" s="478" t="n">
        <v>0</v>
      </c>
      <c r="AF6" s="49" t="n"/>
      <c r="AG6" s="478" t="n">
        <v>0</v>
      </c>
      <c r="AH6" s="49" t="n"/>
      <c r="AI6" s="478" t="n">
        <v>0</v>
      </c>
      <c r="AJ6" s="49" t="n"/>
      <c r="AK6" s="478" t="n">
        <v>0</v>
      </c>
      <c r="AL6" s="49" t="n"/>
      <c r="AM6" s="478" t="n">
        <v>0</v>
      </c>
      <c r="AN6" s="49" t="n"/>
      <c r="AO6" s="479" t="n">
        <v>0</v>
      </c>
      <c r="AP6" s="49" t="n"/>
      <c r="AQ6" s="480" t="n"/>
      <c r="AR6" s="49" t="n"/>
      <c r="AS6" s="480" t="n"/>
      <c r="AT6" s="480" t="n"/>
      <c r="AU6" s="479" t="n">
        <v>0</v>
      </c>
      <c r="AV6" s="49" t="n"/>
      <c r="AW6" s="479" t="n">
        <v>0</v>
      </c>
      <c r="AX6" s="480" t="n"/>
      <c r="AY6" s="479" t="n">
        <v>0</v>
      </c>
      <c r="AZ6" s="478" t="n">
        <v>0</v>
      </c>
      <c r="BA6" s="479" t="n">
        <v>0</v>
      </c>
      <c r="BB6" s="481" t="n">
        <v>5650</v>
      </c>
    </row>
    <row r="7" ht="15.6" customHeight="1">
      <c r="A7" s="168" t="n">
        <v>2</v>
      </c>
      <c r="B7" s="76" t="inlineStr">
        <is>
          <t>1815616</t>
        </is>
      </c>
      <c r="C7" s="418" t="n"/>
      <c r="D7" s="473" t="n">
        <v>46174</v>
      </c>
      <c r="E7" s="77" t="n"/>
      <c r="F7" s="78" t="n">
        <v>2</v>
      </c>
      <c r="G7" s="77" t="n">
        <v>2010</v>
      </c>
      <c r="H7" s="77" t="n"/>
      <c r="I7" s="45" t="inlineStr">
        <is>
          <t>TOYOTA</t>
        </is>
      </c>
      <c r="J7" s="79" t="n"/>
      <c r="K7" s="79" t="n"/>
      <c r="L7" s="47" t="n"/>
      <c r="M7" s="79" t="inlineStr">
        <is>
          <t>MATRIX</t>
        </is>
      </c>
      <c r="N7" s="79" t="inlineStr">
        <is>
          <t>ROJO</t>
        </is>
      </c>
      <c r="O7" s="49" t="inlineStr"/>
      <c r="P7" s="474" t="n">
        <v>2000</v>
      </c>
      <c r="Q7" s="475" t="n"/>
      <c r="R7" s="476" t="n"/>
      <c r="S7" s="49" t="n"/>
      <c r="T7" s="474" t="n">
        <v>0</v>
      </c>
      <c r="U7" s="49" t="n"/>
      <c r="V7" s="475" t="n"/>
      <c r="W7" s="49" t="n"/>
      <c r="X7" s="475" t="n"/>
      <c r="Y7" s="477" t="n">
        <v>2000</v>
      </c>
      <c r="Z7" s="49" t="n"/>
      <c r="AA7" s="474" t="n">
        <v>0</v>
      </c>
      <c r="AB7" s="49" t="n"/>
      <c r="AC7" s="477" t="n">
        <v>0</v>
      </c>
      <c r="AD7" s="49" t="n"/>
      <c r="AE7" s="478" t="n">
        <v>0</v>
      </c>
      <c r="AF7" s="49" t="n"/>
      <c r="AG7" s="478" t="n">
        <v>0</v>
      </c>
      <c r="AH7" s="49" t="n"/>
      <c r="AI7" s="478" t="n">
        <v>0</v>
      </c>
      <c r="AJ7" s="49" t="n"/>
      <c r="AK7" s="478" t="n">
        <v>0</v>
      </c>
      <c r="AL7" s="49" t="n"/>
      <c r="AM7" s="478" t="n">
        <v>0</v>
      </c>
      <c r="AN7" s="49" t="n"/>
      <c r="AO7" s="479" t="n">
        <v>0</v>
      </c>
      <c r="AP7" s="49" t="n"/>
      <c r="AQ7" s="480" t="n"/>
      <c r="AR7" s="49" t="n"/>
      <c r="AS7" s="480" t="n"/>
      <c r="AT7" s="480" t="n"/>
      <c r="AU7" s="479" t="n">
        <v>0</v>
      </c>
      <c r="AV7" s="49" t="n"/>
      <c r="AW7" s="479" t="n">
        <v>0</v>
      </c>
      <c r="AX7" s="480" t="n"/>
      <c r="AY7" s="479" t="n">
        <v>0</v>
      </c>
      <c r="AZ7" s="478" t="n">
        <v>0</v>
      </c>
      <c r="BA7" s="479" t="n">
        <v>0</v>
      </c>
      <c r="BB7" s="481" t="n">
        <v>2580</v>
      </c>
    </row>
    <row r="8" ht="15.6" customHeight="1">
      <c r="A8" s="168" t="n">
        <v>3</v>
      </c>
      <c r="B8" s="76" t="inlineStr">
        <is>
          <t>189165</t>
        </is>
      </c>
      <c r="C8" s="418" t="n"/>
      <c r="D8" s="473" t="n">
        <v>46144</v>
      </c>
      <c r="E8" s="77" t="n"/>
      <c r="F8" s="78" t="n">
        <v>3</v>
      </c>
      <c r="G8" s="77" t="n">
        <v>2015</v>
      </c>
      <c r="H8" s="77" t="n"/>
      <c r="I8" s="45" t="inlineStr">
        <is>
          <t>FORD</t>
        </is>
      </c>
      <c r="J8" s="79" t="n"/>
      <c r="K8" s="79" t="n"/>
      <c r="L8" s="47" t="n"/>
      <c r="M8" s="79" t="inlineStr">
        <is>
          <t>ESCAPE</t>
        </is>
      </c>
      <c r="N8" s="79" t="inlineStr">
        <is>
          <t>NEGRO</t>
        </is>
      </c>
      <c r="O8" s="49" t="inlineStr"/>
      <c r="P8" s="474" t="n">
        <v>2000</v>
      </c>
      <c r="Q8" s="475" t="n"/>
      <c r="R8" s="476" t="n"/>
      <c r="S8" s="49" t="n"/>
      <c r="T8" s="474" t="n">
        <v>0</v>
      </c>
      <c r="U8" s="49" t="n"/>
      <c r="V8" s="475" t="n"/>
      <c r="W8" s="49" t="n"/>
      <c r="X8" s="475" t="n"/>
      <c r="Y8" s="477" t="n">
        <v>2000</v>
      </c>
      <c r="Z8" s="49" t="n"/>
      <c r="AA8" s="474" t="n">
        <v>0</v>
      </c>
      <c r="AB8" s="49" t="n"/>
      <c r="AC8" s="477" t="n">
        <v>0</v>
      </c>
      <c r="AD8" s="49" t="n"/>
      <c r="AE8" s="478" t="n">
        <v>0</v>
      </c>
      <c r="AF8" s="49" t="n"/>
      <c r="AG8" s="478" t="n">
        <v>0</v>
      </c>
      <c r="AH8" s="49" t="n"/>
      <c r="AI8" s="478" t="n">
        <v>0</v>
      </c>
      <c r="AJ8" s="49" t="n"/>
      <c r="AK8" s="478" t="n">
        <v>0</v>
      </c>
      <c r="AL8" s="49" t="n"/>
      <c r="AM8" s="478" t="n">
        <v>0</v>
      </c>
      <c r="AN8" s="49" t="n"/>
      <c r="AO8" s="479" t="n">
        <v>0</v>
      </c>
      <c r="AP8" s="49" t="n"/>
      <c r="AQ8" s="480" t="n"/>
      <c r="AR8" s="49" t="n"/>
      <c r="AS8" s="480" t="n"/>
      <c r="AT8" s="480" t="n"/>
      <c r="AU8" s="479" t="n">
        <v>0</v>
      </c>
      <c r="AV8" s="49" t="n"/>
      <c r="AW8" s="479" t="n">
        <v>0</v>
      </c>
      <c r="AX8" s="480" t="n"/>
      <c r="AY8" s="479" t="n">
        <v>0</v>
      </c>
      <c r="AZ8" s="478" t="n">
        <v>0</v>
      </c>
      <c r="BA8" s="479" t="n">
        <v>0</v>
      </c>
      <c r="BB8" s="481" t="n">
        <v>3650</v>
      </c>
    </row>
    <row r="9" ht="15.6" customFormat="1" customHeight="1" s="38">
      <c r="A9" s="168" t="n">
        <v>4</v>
      </c>
      <c r="B9" s="76" t="inlineStr">
        <is>
          <t>2859198</t>
        </is>
      </c>
      <c r="C9" s="418" t="n"/>
      <c r="D9" s="473" t="n">
        <v>46167</v>
      </c>
      <c r="E9" s="77" t="n"/>
      <c r="F9" s="78" t="n">
        <v>4</v>
      </c>
      <c r="G9" s="77" t="n">
        <v>2018</v>
      </c>
      <c r="H9" s="77" t="n"/>
      <c r="I9" s="45" t="inlineStr">
        <is>
          <t>HONDA</t>
        </is>
      </c>
      <c r="J9" s="79" t="n"/>
      <c r="K9" s="79" t="n"/>
      <c r="L9" s="47" t="n"/>
      <c r="M9" s="79" t="inlineStr">
        <is>
          <t>CIVIC</t>
        </is>
      </c>
      <c r="N9" s="79" t="inlineStr">
        <is>
          <t>ROJO</t>
        </is>
      </c>
      <c r="O9" s="49" t="inlineStr"/>
      <c r="P9" s="474" t="n">
        <v>5000</v>
      </c>
      <c r="Q9" s="475" t="n"/>
      <c r="R9" s="476" t="n"/>
      <c r="S9" s="49" t="n"/>
      <c r="T9" s="474" t="n">
        <v>0</v>
      </c>
      <c r="U9" s="49" t="n"/>
      <c r="V9" s="475" t="n"/>
      <c r="W9" s="49" t="n"/>
      <c r="X9" s="475" t="n"/>
      <c r="Y9" s="477" t="n">
        <v>5000</v>
      </c>
      <c r="Z9" s="49" t="n"/>
      <c r="AA9" s="474" t="n">
        <v>0</v>
      </c>
      <c r="AB9" s="49" t="n"/>
      <c r="AC9" s="477" t="n">
        <v>0</v>
      </c>
      <c r="AD9" s="49" t="n"/>
      <c r="AE9" s="478" t="n">
        <v>0</v>
      </c>
      <c r="AF9" s="49" t="n"/>
      <c r="AG9" s="478" t="n">
        <v>0</v>
      </c>
      <c r="AH9" s="49" t="n"/>
      <c r="AI9" s="478" t="n">
        <v>0</v>
      </c>
      <c r="AJ9" s="49" t="n"/>
      <c r="AK9" s="478" t="n">
        <v>0</v>
      </c>
      <c r="AL9" s="49" t="n"/>
      <c r="AM9" s="478" t="n">
        <v>0</v>
      </c>
      <c r="AN9" s="49" t="n"/>
      <c r="AO9" s="479" t="n">
        <v>0</v>
      </c>
      <c r="AP9" s="49" t="n"/>
      <c r="AQ9" s="480" t="n"/>
      <c r="AR9" s="49" t="n"/>
      <c r="AS9" s="480" t="n"/>
      <c r="AT9" s="480" t="n"/>
      <c r="AU9" s="479" t="n">
        <v>0</v>
      </c>
      <c r="AV9" s="49" t="n"/>
      <c r="AW9" s="479" t="n">
        <v>0</v>
      </c>
      <c r="AX9" s="480" t="n"/>
      <c r="AY9" s="479" t="n">
        <v>0</v>
      </c>
      <c r="AZ9" s="478" t="n">
        <v>0</v>
      </c>
      <c r="BA9" s="479" t="n">
        <v>0</v>
      </c>
      <c r="BB9" s="481" t="n">
        <v>6250</v>
      </c>
    </row>
    <row r="10" ht="15.6" customHeight="1">
      <c r="A10" s="168" t="n">
        <v>5</v>
      </c>
      <c r="B10" s="76" t="inlineStr">
        <is>
          <t>LT1951</t>
        </is>
      </c>
      <c r="C10" s="418" t="n"/>
      <c r="D10" s="473" t="n">
        <v>46146</v>
      </c>
      <c r="E10" s="77" t="n"/>
      <c r="F10" s="78" t="n">
        <v>5</v>
      </c>
      <c r="G10" s="77" t="n">
        <v>2019</v>
      </c>
      <c r="H10" s="77" t="n"/>
      <c r="I10" s="45" t="inlineStr">
        <is>
          <t>HYUNDAI</t>
        </is>
      </c>
      <c r="J10" s="79" t="n"/>
      <c r="K10" s="79" t="n"/>
      <c r="L10" s="47" t="n"/>
      <c r="M10" s="79" t="inlineStr">
        <is>
          <t>SANTA FE</t>
        </is>
      </c>
      <c r="N10" s="79" t="inlineStr">
        <is>
          <t>NEGRO</t>
        </is>
      </c>
      <c r="O10" s="49" t="inlineStr"/>
      <c r="P10" s="474" t="n">
        <v>2500</v>
      </c>
      <c r="Q10" s="475" t="n"/>
      <c r="R10" s="476" t="n"/>
      <c r="S10" s="49" t="n"/>
      <c r="T10" s="474" t="n">
        <v>0</v>
      </c>
      <c r="U10" s="49" t="n"/>
      <c r="V10" s="475" t="n"/>
      <c r="W10" s="49" t="n"/>
      <c r="X10" s="475" t="n"/>
      <c r="Y10" s="477" t="n">
        <v>2500</v>
      </c>
      <c r="Z10" s="49" t="n"/>
      <c r="AA10" s="474" t="n">
        <v>0</v>
      </c>
      <c r="AB10" s="49" t="n"/>
      <c r="AC10" s="477" t="n">
        <v>0</v>
      </c>
      <c r="AD10" s="49" t="n"/>
      <c r="AE10" s="478" t="n">
        <v>0</v>
      </c>
      <c r="AF10" s="49" t="n"/>
      <c r="AG10" s="478" t="n">
        <v>0</v>
      </c>
      <c r="AH10" s="49" t="n"/>
      <c r="AI10" s="478" t="n">
        <v>0</v>
      </c>
      <c r="AJ10" s="49" t="n"/>
      <c r="AK10" s="478" t="n">
        <v>0</v>
      </c>
      <c r="AL10" s="49" t="n"/>
      <c r="AM10" s="478" t="n">
        <v>0</v>
      </c>
      <c r="AN10" s="49" t="n"/>
      <c r="AO10" s="479" t="n">
        <v>0</v>
      </c>
      <c r="AP10" s="49" t="n"/>
      <c r="AQ10" s="480" t="n"/>
      <c r="AR10" s="49" t="n"/>
      <c r="AS10" s="480" t="n"/>
      <c r="AT10" s="480" t="n"/>
      <c r="AU10" s="479" t="n">
        <v>0</v>
      </c>
      <c r="AV10" s="49" t="n"/>
      <c r="AW10" s="479" t="n">
        <v>0</v>
      </c>
      <c r="AX10" s="480" t="n"/>
      <c r="AY10" s="479" t="n">
        <v>0</v>
      </c>
      <c r="AZ10" s="478" t="n">
        <v>0</v>
      </c>
      <c r="BA10" s="479" t="n">
        <v>0</v>
      </c>
      <c r="BB10" s="481" t="n">
        <v>2500</v>
      </c>
    </row>
    <row r="11" ht="15.6" customFormat="1" customHeight="1" s="38" thickBot="1">
      <c r="A11" s="168" t="n">
        <v>6</v>
      </c>
      <c r="B11" s="76" t="inlineStr">
        <is>
          <t>LOTE 51</t>
        </is>
      </c>
      <c r="C11" s="418" t="n"/>
      <c r="D11" s="473" t="n">
        <v>46143</v>
      </c>
      <c r="E11" s="77" t="n"/>
      <c r="F11" s="78" t="n">
        <v>6</v>
      </c>
      <c r="G11" s="77" t="n">
        <v>2019</v>
      </c>
      <c r="H11" s="77" t="n"/>
      <c r="I11" s="45" t="inlineStr">
        <is>
          <t>HONDA</t>
        </is>
      </c>
      <c r="J11" s="79" t="n"/>
      <c r="K11" s="79" t="n"/>
      <c r="L11" s="47" t="n"/>
      <c r="M11" s="79" t="inlineStr">
        <is>
          <t>CIVIC</t>
        </is>
      </c>
      <c r="N11" s="79" t="inlineStr">
        <is>
          <t>NEGRO</t>
        </is>
      </c>
      <c r="O11" s="49" t="inlineStr"/>
      <c r="P11" s="474" t="n">
        <v>3000</v>
      </c>
      <c r="Q11" s="475" t="n"/>
      <c r="R11" s="476" t="n"/>
      <c r="S11" s="49" t="n"/>
      <c r="T11" s="474" t="n">
        <v>0</v>
      </c>
      <c r="U11" s="49" t="n"/>
      <c r="V11" s="475" t="n"/>
      <c r="W11" s="49" t="n"/>
      <c r="X11" s="475" t="n"/>
      <c r="Y11" s="477" t="n">
        <v>3000</v>
      </c>
      <c r="Z11" s="49" t="n"/>
      <c r="AA11" s="474" t="n">
        <v>0</v>
      </c>
      <c r="AB11" s="49" t="n"/>
      <c r="AC11" s="477" t="n">
        <v>0</v>
      </c>
      <c r="AD11" s="49" t="n"/>
      <c r="AE11" s="478" t="n">
        <v>0</v>
      </c>
      <c r="AF11" s="49" t="n"/>
      <c r="AG11" s="478" t="n">
        <v>0</v>
      </c>
      <c r="AH11" s="49" t="n"/>
      <c r="AI11" s="478" t="n">
        <v>0</v>
      </c>
      <c r="AJ11" s="49" t="n"/>
      <c r="AK11" s="478" t="n">
        <v>0</v>
      </c>
      <c r="AL11" s="49" t="n"/>
      <c r="AM11" s="478" t="n">
        <v>0</v>
      </c>
      <c r="AN11" s="49" t="n"/>
      <c r="AO11" s="479" t="n">
        <v>0</v>
      </c>
      <c r="AP11" s="49" t="n"/>
      <c r="AQ11" s="480" t="n"/>
      <c r="AR11" s="49" t="n"/>
      <c r="AS11" s="480" t="n"/>
      <c r="AT11" s="480" t="n"/>
      <c r="AU11" s="479" t="n">
        <v>0</v>
      </c>
      <c r="AV11" s="49" t="n"/>
      <c r="AW11" s="479" t="n">
        <v>0</v>
      </c>
      <c r="AX11" s="480" t="n"/>
      <c r="AY11" s="479" t="n">
        <v>0</v>
      </c>
      <c r="AZ11" s="478" t="n">
        <v>0</v>
      </c>
      <c r="BA11" s="479" t="n">
        <v>0</v>
      </c>
      <c r="BB11" s="481" t="n">
        <v>5450</v>
      </c>
    </row>
    <row r="12" ht="15.6" customFormat="1" customHeight="1" s="120" thickBot="1">
      <c r="A12" s="168" t="n">
        <v>7</v>
      </c>
      <c r="B12" s="76" t="inlineStr">
        <is>
          <t>LOTE 5</t>
        </is>
      </c>
      <c r="C12" s="418" t="n"/>
      <c r="D12" s="473" t="n">
        <v>46153</v>
      </c>
      <c r="E12" s="77" t="n"/>
      <c r="F12" s="78" t="n">
        <v>7</v>
      </c>
      <c r="G12" s="77" t="n">
        <v>2017</v>
      </c>
      <c r="H12" s="77" t="n"/>
      <c r="I12" s="45" t="inlineStr">
        <is>
          <t>FORD</t>
        </is>
      </c>
      <c r="J12" s="79" t="n"/>
      <c r="K12" s="79" t="n"/>
      <c r="L12" s="47" t="n"/>
      <c r="M12" s="79" t="inlineStr">
        <is>
          <t>ESCAPE</t>
        </is>
      </c>
      <c r="N12" s="79" t="inlineStr">
        <is>
          <t>NEGRO</t>
        </is>
      </c>
      <c r="O12" s="49" t="inlineStr"/>
      <c r="P12" s="474" t="n">
        <v>2000</v>
      </c>
      <c r="Q12" s="475" t="n"/>
      <c r="R12" s="476" t="n"/>
      <c r="S12" s="49" t="n"/>
      <c r="T12" s="474" t="n">
        <v>0</v>
      </c>
      <c r="U12" s="49" t="n"/>
      <c r="V12" s="475" t="n"/>
      <c r="W12" s="49" t="n"/>
      <c r="X12" s="475" t="n"/>
      <c r="Y12" s="477" t="n">
        <v>2000</v>
      </c>
      <c r="Z12" s="49" t="n"/>
      <c r="AA12" s="474" t="n">
        <v>0</v>
      </c>
      <c r="AB12" s="49" t="n"/>
      <c r="AC12" s="477" t="n">
        <v>0</v>
      </c>
      <c r="AD12" s="49" t="n"/>
      <c r="AE12" s="478" t="n">
        <v>0</v>
      </c>
      <c r="AF12" s="49" t="n"/>
      <c r="AG12" s="478" t="n">
        <v>0</v>
      </c>
      <c r="AH12" s="49" t="n"/>
      <c r="AI12" s="478" t="n">
        <v>0</v>
      </c>
      <c r="AJ12" s="49" t="n"/>
      <c r="AK12" s="478" t="n">
        <v>0</v>
      </c>
      <c r="AL12" s="49" t="n"/>
      <c r="AM12" s="478" t="n">
        <v>0</v>
      </c>
      <c r="AN12" s="49" t="n"/>
      <c r="AO12" s="479" t="n">
        <v>0</v>
      </c>
      <c r="AP12" s="49" t="n"/>
      <c r="AQ12" s="480" t="n"/>
      <c r="AR12" s="49" t="n"/>
      <c r="AS12" s="480" t="n"/>
      <c r="AT12" s="480" t="n"/>
      <c r="AU12" s="479" t="n">
        <v>0</v>
      </c>
      <c r="AV12" s="49" t="n"/>
      <c r="AW12" s="479" t="n">
        <v>0</v>
      </c>
      <c r="AX12" s="480" t="n"/>
      <c r="AY12" s="479" t="n">
        <v>0</v>
      </c>
      <c r="AZ12" s="478" t="n">
        <v>0</v>
      </c>
      <c r="BA12" s="479" t="n">
        <v>0</v>
      </c>
      <c r="BB12" s="481" t="n">
        <v>3580</v>
      </c>
    </row>
    <row r="13" ht="15.6" customHeight="1">
      <c r="A13" s="168" t="n">
        <v>8</v>
      </c>
      <c r="B13" s="76" t="inlineStr">
        <is>
          <t>69991855</t>
        </is>
      </c>
      <c r="C13" s="418" t="n"/>
      <c r="D13" s="473" t="n">
        <v>46162</v>
      </c>
      <c r="E13" s="77" t="n"/>
      <c r="F13" s="78" t="n">
        <v>8</v>
      </c>
      <c r="G13" s="77" t="n">
        <v>2017</v>
      </c>
      <c r="H13" s="77" t="n"/>
      <c r="I13" s="45" t="inlineStr">
        <is>
          <t>HONDA</t>
        </is>
      </c>
      <c r="J13" s="79" t="n"/>
      <c r="K13" s="79" t="n"/>
      <c r="L13" s="47" t="n"/>
      <c r="M13" s="79" t="inlineStr">
        <is>
          <t>CIVIC</t>
        </is>
      </c>
      <c r="N13" s="79" t="inlineStr">
        <is>
          <t>NEGRO</t>
        </is>
      </c>
      <c r="O13" s="49" t="inlineStr"/>
      <c r="P13" s="474" t="n">
        <v>1800</v>
      </c>
      <c r="Q13" s="475" t="n"/>
      <c r="R13" s="476" t="n"/>
      <c r="S13" s="49" t="n"/>
      <c r="T13" s="474" t="n">
        <v>0</v>
      </c>
      <c r="U13" s="49" t="n"/>
      <c r="V13" s="475" t="n"/>
      <c r="W13" s="49" t="n"/>
      <c r="X13" s="475" t="n"/>
      <c r="Y13" s="477" t="n">
        <v>1800</v>
      </c>
      <c r="Z13" s="49" t="n"/>
      <c r="AA13" s="474" t="n">
        <v>0</v>
      </c>
      <c r="AB13" s="49" t="n"/>
      <c r="AC13" s="477" t="n">
        <v>0</v>
      </c>
      <c r="AD13" s="49" t="n"/>
      <c r="AE13" s="478" t="n">
        <v>0</v>
      </c>
      <c r="AF13" s="49" t="n"/>
      <c r="AG13" s="478" t="n">
        <v>0</v>
      </c>
      <c r="AH13" s="49" t="n"/>
      <c r="AI13" s="478" t="n">
        <v>0</v>
      </c>
      <c r="AJ13" s="49" t="n"/>
      <c r="AK13" s="478" t="n">
        <v>0</v>
      </c>
      <c r="AL13" s="49" t="n"/>
      <c r="AM13" s="478" t="n">
        <v>0</v>
      </c>
      <c r="AN13" s="49" t="n"/>
      <c r="AO13" s="479" t="n">
        <v>0</v>
      </c>
      <c r="AP13" s="49" t="n"/>
      <c r="AQ13" s="480" t="n"/>
      <c r="AR13" s="49" t="n"/>
      <c r="AS13" s="480" t="n"/>
      <c r="AT13" s="480" t="n"/>
      <c r="AU13" s="479" t="n">
        <v>0</v>
      </c>
      <c r="AV13" s="49" t="n"/>
      <c r="AW13" s="479" t="n">
        <v>0</v>
      </c>
      <c r="AX13" s="480" t="n"/>
      <c r="AY13" s="479" t="n">
        <v>0</v>
      </c>
      <c r="AZ13" s="478" t="n">
        <v>0</v>
      </c>
      <c r="BA13" s="479" t="n">
        <v>0</v>
      </c>
      <c r="BB13" s="481" t="n">
        <v>2100</v>
      </c>
    </row>
    <row r="14" ht="15.6" customHeight="1">
      <c r="A14" s="168" t="n">
        <v>9</v>
      </c>
      <c r="B14" s="76" t="inlineStr">
        <is>
          <t>818919148</t>
        </is>
      </c>
      <c r="C14" s="418" t="n"/>
      <c r="D14" s="473" t="n">
        <v>46143</v>
      </c>
      <c r="E14" s="77" t="n"/>
      <c r="F14" s="78" t="n">
        <v>9</v>
      </c>
      <c r="G14" s="77" t="n">
        <v>2019</v>
      </c>
      <c r="H14" s="77" t="n"/>
      <c r="I14" s="45" t="inlineStr">
        <is>
          <t>HYUNDAI</t>
        </is>
      </c>
      <c r="J14" s="79" t="n"/>
      <c r="K14" s="79" t="n"/>
      <c r="L14" s="47" t="n"/>
      <c r="M14" s="79" t="inlineStr">
        <is>
          <t>ELANTRA</t>
        </is>
      </c>
      <c r="N14" s="79" t="inlineStr">
        <is>
          <t>NEGRO</t>
        </is>
      </c>
      <c r="O14" s="49" t="inlineStr">
        <is>
          <t>EJEMPLO 85</t>
        </is>
      </c>
      <c r="P14" s="474" t="n">
        <v>3500</v>
      </c>
      <c r="Q14" s="475" t="n"/>
      <c r="R14" s="476" t="n"/>
      <c r="S14" s="49" t="n"/>
      <c r="T14" s="474" t="n">
        <v>150</v>
      </c>
      <c r="U14" s="49" t="n"/>
      <c r="V14" s="475" t="n"/>
      <c r="W14" s="49" t="n"/>
      <c r="X14" s="475" t="n"/>
      <c r="Y14" s="477" t="n">
        <v>3650</v>
      </c>
      <c r="Z14" s="49" t="n"/>
      <c r="AA14" s="474" t="n">
        <v>1780</v>
      </c>
      <c r="AB14" s="49" t="n"/>
      <c r="AC14" s="477" t="n">
        <v>270</v>
      </c>
      <c r="AD14" s="49" t="n"/>
      <c r="AE14" s="478" t="n">
        <v>200</v>
      </c>
      <c r="AF14" s="49" t="n"/>
      <c r="AG14" s="478" t="n">
        <v>0</v>
      </c>
      <c r="AH14" s="49" t="n"/>
      <c r="AI14" s="478" t="n">
        <v>50</v>
      </c>
      <c r="AJ14" s="49" t="n"/>
      <c r="AK14" s="478" t="n">
        <v>150</v>
      </c>
      <c r="AL14" s="49" t="n"/>
      <c r="AM14" s="478" t="n">
        <v>0</v>
      </c>
      <c r="AN14" s="49" t="n"/>
      <c r="AO14" s="479" t="n">
        <v>50</v>
      </c>
      <c r="AP14" s="49" t="n"/>
      <c r="AQ14" s="480" t="n"/>
      <c r="AR14" s="49" t="n"/>
      <c r="AS14" s="480" t="n"/>
      <c r="AT14" s="480" t="n"/>
      <c r="AU14" s="479" t="n">
        <v>105</v>
      </c>
      <c r="AV14" s="49" t="n"/>
      <c r="AW14" s="479" t="n">
        <v>105</v>
      </c>
      <c r="AX14" s="480" t="n"/>
      <c r="AY14" s="479" t="n">
        <v>150</v>
      </c>
      <c r="AZ14" s="478" t="n">
        <v>0</v>
      </c>
      <c r="BA14" s="479" t="n">
        <v>2755</v>
      </c>
      <c r="BB14" s="481" t="n">
        <v>6405</v>
      </c>
    </row>
    <row r="15" ht="15.6" customHeight="1">
      <c r="A15" s="168" t="n">
        <v>10</v>
      </c>
      <c r="B15" s="76" t="inlineStr">
        <is>
          <t>8585</t>
        </is>
      </c>
      <c r="C15" s="418" t="n"/>
      <c r="D15" s="473" t="n">
        <v>46139</v>
      </c>
      <c r="E15" s="77" t="n"/>
      <c r="F15" s="78" t="n">
        <v>10</v>
      </c>
      <c r="G15" s="77" t="n">
        <v>2020</v>
      </c>
      <c r="H15" s="77" t="n"/>
      <c r="I15" s="45" t="inlineStr">
        <is>
          <t>HONDA</t>
        </is>
      </c>
      <c r="J15" s="79" t="n"/>
      <c r="K15" s="79" t="n"/>
      <c r="L15" s="47" t="n"/>
      <c r="M15" s="79" t="inlineStr">
        <is>
          <t>CRV</t>
        </is>
      </c>
      <c r="N15" s="79" t="inlineStr">
        <is>
          <t>AZUL</t>
        </is>
      </c>
      <c r="O15" s="49" t="inlineStr">
        <is>
          <t>5050</t>
        </is>
      </c>
      <c r="P15" s="474" t="n">
        <v>4000</v>
      </c>
      <c r="Q15" s="475" t="n"/>
      <c r="R15" s="476" t="n"/>
      <c r="S15" s="49" t="n"/>
      <c r="T15" s="474" t="n">
        <v>200</v>
      </c>
      <c r="U15" s="49" t="n"/>
      <c r="V15" s="475" t="n"/>
      <c r="W15" s="49" t="n"/>
      <c r="X15" s="475" t="n"/>
      <c r="Y15" s="477" t="n">
        <v>4200</v>
      </c>
      <c r="Z15" s="49" t="n"/>
      <c r="AA15" s="474" t="n">
        <v>1850</v>
      </c>
      <c r="AB15" s="49" t="n"/>
      <c r="AC15" s="477" t="n">
        <v>500</v>
      </c>
      <c r="AD15" s="49" t="n"/>
      <c r="AE15" s="478" t="n">
        <v>150</v>
      </c>
      <c r="AF15" s="49" t="n"/>
      <c r="AG15" s="478" t="n">
        <v>100</v>
      </c>
      <c r="AH15" s="49" t="n"/>
      <c r="AI15" s="478" t="n">
        <v>250</v>
      </c>
      <c r="AJ15" s="49" t="n"/>
      <c r="AK15" s="478" t="n">
        <v>300</v>
      </c>
      <c r="AL15" s="49" t="n"/>
      <c r="AM15" s="478" t="n">
        <v>50</v>
      </c>
      <c r="AN15" s="49" t="n"/>
      <c r="AO15" s="479" t="n">
        <v>250</v>
      </c>
      <c r="AP15" s="49" t="n"/>
      <c r="AQ15" s="480" t="n"/>
      <c r="AR15" s="49" t="n"/>
      <c r="AS15" s="480" t="n"/>
      <c r="AT15" s="480" t="n"/>
      <c r="AU15" s="479" t="n">
        <v>450</v>
      </c>
      <c r="AV15" s="49" t="n"/>
      <c r="AW15" s="479" t="n">
        <v>450</v>
      </c>
      <c r="AX15" s="480" t="n"/>
      <c r="AY15" s="479" t="n">
        <v>250</v>
      </c>
      <c r="AZ15" s="478" t="n">
        <v>0</v>
      </c>
      <c r="BA15" s="479" t="n">
        <v>4150</v>
      </c>
      <c r="BB15" s="481" t="n">
        <v>8350</v>
      </c>
    </row>
    <row r="16" ht="15.6" customFormat="1" customHeight="1" s="38">
      <c r="A16" s="168" t="n"/>
      <c r="B16" s="76" t="n"/>
      <c r="C16" s="418" t="n"/>
      <c r="D16" s="44" t="n"/>
      <c r="E16" s="77" t="n"/>
      <c r="F16" s="78" t="n"/>
      <c r="G16" s="77" t="n"/>
      <c r="H16" s="77" t="n"/>
      <c r="I16" s="45" t="n"/>
      <c r="J16" s="79" t="n"/>
      <c r="K16" s="79" t="n"/>
      <c r="L16" s="47" t="n"/>
      <c r="M16" s="79" t="n"/>
      <c r="N16" s="79" t="n"/>
      <c r="O16" s="49" t="n"/>
      <c r="P16" s="475" t="n"/>
      <c r="Q16" s="475" t="n"/>
      <c r="R16" s="476" t="n"/>
      <c r="S16" s="49" t="n"/>
      <c r="T16" s="475" t="n"/>
      <c r="U16" s="49" t="n"/>
      <c r="V16" s="475" t="n"/>
      <c r="W16" s="49" t="n"/>
      <c r="X16" s="475" t="n"/>
      <c r="Y16" s="476" t="n"/>
      <c r="Z16" s="49" t="n"/>
      <c r="AA16" s="475" t="n"/>
      <c r="AB16" s="49" t="n"/>
      <c r="AC16" s="476" t="n"/>
      <c r="AD16" s="49" t="n"/>
      <c r="AE16" s="482" t="n"/>
      <c r="AF16" s="49" t="n"/>
      <c r="AG16" s="482" t="n"/>
      <c r="AH16" s="49" t="n"/>
      <c r="AI16" s="482" t="n"/>
      <c r="AJ16" s="49" t="n"/>
      <c r="AK16" s="482" t="n"/>
      <c r="AL16" s="49" t="n"/>
      <c r="AM16" s="482" t="n"/>
      <c r="AN16" s="49" t="n"/>
      <c r="AO16" s="480" t="n"/>
      <c r="AP16" s="49" t="n"/>
      <c r="AQ16" s="480" t="n"/>
      <c r="AR16" s="49" t="n"/>
      <c r="AS16" s="480" t="n"/>
      <c r="AT16" s="480" t="n"/>
      <c r="AU16" s="480" t="n"/>
      <c r="AV16" s="49" t="n"/>
      <c r="AW16" s="480" t="n"/>
      <c r="AX16" s="480" t="n"/>
      <c r="AY16" s="480" t="n"/>
      <c r="AZ16" s="482" t="n"/>
      <c r="BA16" s="480" t="n"/>
      <c r="BB16" s="483" t="n"/>
    </row>
    <row r="17" ht="15.6" customFormat="1" customHeight="1" s="29">
      <c r="A17" s="168" t="n"/>
      <c r="B17" s="76" t="n"/>
      <c r="C17" s="418" t="n"/>
      <c r="D17" s="44" t="n"/>
      <c r="E17" s="77" t="n"/>
      <c r="F17" s="78" t="n"/>
      <c r="G17" s="77" t="n"/>
      <c r="H17" s="77" t="n"/>
      <c r="I17" s="45" t="n"/>
      <c r="J17" s="79" t="n"/>
      <c r="K17" s="79" t="n"/>
      <c r="L17" s="47" t="n"/>
      <c r="M17" s="79" t="n"/>
      <c r="N17" s="79" t="n"/>
      <c r="O17" s="49" t="n"/>
      <c r="P17" s="475" t="n"/>
      <c r="Q17" s="475" t="n"/>
      <c r="R17" s="476" t="n"/>
      <c r="S17" s="49" t="n"/>
      <c r="T17" s="475" t="n"/>
      <c r="U17" s="49" t="n"/>
      <c r="V17" s="475" t="n"/>
      <c r="W17" s="49" t="n"/>
      <c r="X17" s="475" t="n"/>
      <c r="Y17" s="476" t="n"/>
      <c r="Z17" s="49" t="n"/>
      <c r="AA17" s="475" t="n"/>
      <c r="AB17" s="49" t="n"/>
      <c r="AC17" s="476" t="n"/>
      <c r="AD17" s="49" t="n"/>
      <c r="AE17" s="482" t="n"/>
      <c r="AF17" s="49" t="n"/>
      <c r="AG17" s="482" t="n"/>
      <c r="AH17" s="49" t="n"/>
      <c r="AI17" s="482" t="n"/>
      <c r="AJ17" s="49" t="n"/>
      <c r="AK17" s="482" t="n"/>
      <c r="AL17" s="49" t="n"/>
      <c r="AM17" s="482" t="n"/>
      <c r="AN17" s="49" t="n"/>
      <c r="AO17" s="480" t="n"/>
      <c r="AP17" s="49" t="n"/>
      <c r="AQ17" s="480" t="n"/>
      <c r="AR17" s="49" t="n"/>
      <c r="AS17" s="480" t="n"/>
      <c r="AT17" s="480" t="n"/>
      <c r="AU17" s="480" t="n"/>
      <c r="AV17" s="49" t="n"/>
      <c r="AW17" s="480" t="n"/>
      <c r="AX17" s="480" t="n"/>
      <c r="AY17" s="480" t="n"/>
      <c r="AZ17" s="482" t="n"/>
      <c r="BA17" s="480" t="n"/>
      <c r="BB17" s="483" t="n"/>
    </row>
    <row r="18" ht="15.6" customHeight="1">
      <c r="A18" s="168" t="n"/>
      <c r="B18" s="76" t="n"/>
      <c r="C18" s="418" t="n"/>
      <c r="D18" s="44" t="n"/>
      <c r="E18" s="77" t="n"/>
      <c r="F18" s="78" t="n"/>
      <c r="G18" s="77" t="n"/>
      <c r="H18" s="77" t="n"/>
      <c r="I18" s="45" t="n"/>
      <c r="J18" s="79" t="n"/>
      <c r="K18" s="79" t="n"/>
      <c r="L18" s="47" t="n"/>
      <c r="M18" s="79" t="n"/>
      <c r="N18" s="79" t="n"/>
      <c r="O18" s="49" t="n"/>
      <c r="P18" s="475" t="n"/>
      <c r="Q18" s="475" t="n"/>
      <c r="R18" s="476" t="n"/>
      <c r="S18" s="49" t="n"/>
      <c r="T18" s="475" t="n"/>
      <c r="U18" s="49" t="n"/>
      <c r="V18" s="475" t="n"/>
      <c r="W18" s="49" t="n"/>
      <c r="X18" s="475" t="n"/>
      <c r="Y18" s="476" t="n"/>
      <c r="Z18" s="49" t="n"/>
      <c r="AA18" s="475" t="n"/>
      <c r="AB18" s="49" t="n"/>
      <c r="AC18" s="476" t="n"/>
      <c r="AD18" s="49" t="n"/>
      <c r="AE18" s="482" t="n"/>
      <c r="AF18" s="49" t="n"/>
      <c r="AG18" s="482" t="n"/>
      <c r="AH18" s="49" t="n"/>
      <c r="AI18" s="482" t="n"/>
      <c r="AJ18" s="49" t="n"/>
      <c r="AK18" s="482" t="n"/>
      <c r="AL18" s="49" t="n"/>
      <c r="AM18" s="482" t="n"/>
      <c r="AN18" s="49" t="n"/>
      <c r="AO18" s="480" t="n"/>
      <c r="AP18" s="49" t="n"/>
      <c r="AQ18" s="480" t="n"/>
      <c r="AR18" s="49" t="n"/>
      <c r="AS18" s="480" t="n"/>
      <c r="AT18" s="480" t="n"/>
      <c r="AU18" s="480" t="n"/>
      <c r="AV18" s="49" t="n"/>
      <c r="AW18" s="480" t="n"/>
      <c r="AX18" s="480" t="n"/>
      <c r="AY18" s="480" t="n"/>
      <c r="AZ18" s="482" t="n"/>
      <c r="BA18" s="480" t="n"/>
      <c r="BB18" s="483" t="n"/>
    </row>
    <row r="19" ht="15.6" customFormat="1" customHeight="1" s="38">
      <c r="A19" s="168" t="n"/>
      <c r="B19" s="76" t="n"/>
      <c r="C19" s="418" t="n"/>
      <c r="D19" s="44" t="n"/>
      <c r="E19" s="77" t="n"/>
      <c r="F19" s="78" t="n"/>
      <c r="G19" s="77" t="n"/>
      <c r="H19" s="77" t="n"/>
      <c r="I19" s="45" t="n"/>
      <c r="J19" s="79" t="n"/>
      <c r="K19" s="79" t="n"/>
      <c r="L19" s="47" t="n"/>
      <c r="M19" s="79" t="n"/>
      <c r="N19" s="79" t="n"/>
      <c r="O19" s="49" t="n"/>
      <c r="P19" s="475" t="n"/>
      <c r="Q19" s="475" t="n"/>
      <c r="R19" s="476" t="n"/>
      <c r="S19" s="49" t="n"/>
      <c r="T19" s="475" t="n"/>
      <c r="U19" s="49" t="n"/>
      <c r="V19" s="475" t="n"/>
      <c r="W19" s="49" t="n"/>
      <c r="X19" s="475" t="n"/>
      <c r="Y19" s="476" t="n"/>
      <c r="Z19" s="49" t="n"/>
      <c r="AA19" s="475" t="n"/>
      <c r="AB19" s="49" t="n"/>
      <c r="AC19" s="476" t="n"/>
      <c r="AD19" s="49" t="n"/>
      <c r="AE19" s="482" t="n"/>
      <c r="AF19" s="49" t="n"/>
      <c r="AG19" s="482" t="n"/>
      <c r="AH19" s="49" t="n"/>
      <c r="AI19" s="482" t="n"/>
      <c r="AJ19" s="49" t="n"/>
      <c r="AK19" s="482" t="n"/>
      <c r="AL19" s="49" t="n"/>
      <c r="AM19" s="482" t="n"/>
      <c r="AN19" s="49" t="n"/>
      <c r="AO19" s="480" t="n"/>
      <c r="AP19" s="49" t="n"/>
      <c r="AQ19" s="480" t="n"/>
      <c r="AR19" s="49" t="n"/>
      <c r="AS19" s="480" t="n"/>
      <c r="AT19" s="480" t="n"/>
      <c r="AU19" s="480" t="n"/>
      <c r="AV19" s="49" t="n"/>
      <c r="AW19" s="480" t="n"/>
      <c r="AX19" s="480" t="n"/>
      <c r="AY19" s="480" t="n"/>
      <c r="AZ19" s="482" t="n"/>
      <c r="BA19" s="480" t="n"/>
      <c r="BB19" s="483" t="n"/>
    </row>
    <row r="20" ht="15.6" customHeight="1">
      <c r="A20" s="168" t="n"/>
      <c r="B20" s="76" t="n"/>
      <c r="C20" s="418" t="n"/>
      <c r="D20" s="44" t="n"/>
      <c r="E20" s="77" t="n"/>
      <c r="F20" s="78" t="n"/>
      <c r="G20" s="77" t="n"/>
      <c r="H20" s="77" t="n"/>
      <c r="I20" s="45" t="n"/>
      <c r="J20" s="79" t="n"/>
      <c r="K20" s="79" t="n"/>
      <c r="L20" s="47" t="n"/>
      <c r="M20" s="79" t="n"/>
      <c r="N20" s="79" t="n"/>
      <c r="O20" s="49" t="n"/>
      <c r="P20" s="475" t="n"/>
      <c r="Q20" s="475" t="n"/>
      <c r="R20" s="476" t="n"/>
      <c r="S20" s="49" t="n"/>
      <c r="T20" s="475" t="n"/>
      <c r="U20" s="49" t="n"/>
      <c r="V20" s="475" t="n"/>
      <c r="W20" s="49" t="n"/>
      <c r="X20" s="475" t="n"/>
      <c r="Y20" s="476" t="n"/>
      <c r="Z20" s="49" t="n"/>
      <c r="AA20" s="475" t="n"/>
      <c r="AB20" s="49" t="n"/>
      <c r="AC20" s="476" t="n"/>
      <c r="AD20" s="49" t="n"/>
      <c r="AE20" s="482" t="n"/>
      <c r="AF20" s="49" t="n"/>
      <c r="AG20" s="482" t="n"/>
      <c r="AH20" s="49" t="n"/>
      <c r="AI20" s="482" t="n"/>
      <c r="AJ20" s="49" t="n"/>
      <c r="AK20" s="482" t="n"/>
      <c r="AL20" s="49" t="n"/>
      <c r="AM20" s="482" t="n"/>
      <c r="AN20" s="49" t="n"/>
      <c r="AO20" s="480" t="n"/>
      <c r="AP20" s="49" t="n"/>
      <c r="AQ20" s="480" t="n"/>
      <c r="AR20" s="49" t="n"/>
      <c r="AS20" s="480" t="n"/>
      <c r="AT20" s="480" t="n"/>
      <c r="AU20" s="480" t="n"/>
      <c r="AV20" s="49" t="n"/>
      <c r="AW20" s="480" t="n"/>
      <c r="AX20" s="480" t="n"/>
      <c r="AY20" s="480" t="n"/>
      <c r="AZ20" s="482" t="n"/>
      <c r="BA20" s="480" t="n"/>
      <c r="BB20" s="483" t="n"/>
    </row>
    <row r="21" ht="15.6" customHeight="1">
      <c r="A21" s="168" t="n">
        <v>17</v>
      </c>
      <c r="B21" s="83" t="inlineStr">
        <is>
          <t>91957805</t>
        </is>
      </c>
      <c r="C21" s="484" t="n"/>
      <c r="D21" s="85" t="n">
        <v>45995</v>
      </c>
      <c r="E21" s="45" t="n"/>
      <c r="F21" s="78" t="n">
        <v>17</v>
      </c>
      <c r="G21" s="45" t="n">
        <v>2020</v>
      </c>
      <c r="H21" s="45" t="n"/>
      <c r="I21" s="45" t="inlineStr">
        <is>
          <t xml:space="preserve">Mitsubishi </t>
        </is>
      </c>
      <c r="J21" s="45" t="n"/>
      <c r="K21" s="45" t="n"/>
      <c r="L21" s="47" t="n"/>
      <c r="M21" s="45" t="inlineStr">
        <is>
          <t xml:space="preserve"> Mirage G4 </t>
        </is>
      </c>
      <c r="N21" s="45" t="inlineStr">
        <is>
          <t>Azul</t>
        </is>
      </c>
      <c r="O21" s="46" t="n"/>
      <c r="P21" s="476" t="n"/>
      <c r="Q21" s="476" t="n"/>
      <c r="R21" s="476" t="n"/>
      <c r="S21" s="46" t="n"/>
      <c r="T21" s="476" t="n"/>
      <c r="U21" s="46" t="n"/>
      <c r="V21" s="476" t="n"/>
      <c r="W21" s="476" t="n"/>
      <c r="X21" s="476" t="n"/>
      <c r="Y21" s="476" t="n"/>
      <c r="Z21" s="46" t="n"/>
      <c r="AA21" s="476" t="n"/>
      <c r="AB21" s="46" t="n"/>
      <c r="AC21" s="476" t="n"/>
      <c r="AD21" s="46" t="n"/>
      <c r="AE21" s="480" t="n"/>
      <c r="AF21" s="476" t="n"/>
      <c r="AG21" s="480" t="n"/>
      <c r="AH21" s="46" t="n"/>
      <c r="AI21" s="480" t="n"/>
      <c r="AJ21" s="476" t="n"/>
      <c r="AK21" s="480" t="n"/>
      <c r="AL21" s="476" t="n"/>
      <c r="AM21" s="480" t="n"/>
      <c r="AN21" s="480" t="n"/>
      <c r="AO21" s="480" t="n"/>
      <c r="AP21" s="49" t="n"/>
      <c r="AQ21" s="480" t="n"/>
      <c r="AR21" s="49" t="n"/>
      <c r="AS21" s="480" t="n"/>
      <c r="AT21" s="480" t="n"/>
      <c r="AU21" s="480" t="n"/>
      <c r="AV21" s="49" t="n"/>
      <c r="AW21" s="480" t="n"/>
      <c r="AX21" s="480" t="n"/>
      <c r="AY21" s="480" t="n"/>
      <c r="AZ21" s="480" t="n"/>
      <c r="BA21" s="480" t="n"/>
      <c r="BB21" s="483" t="n"/>
    </row>
    <row r="22" ht="15.6" customHeight="1">
      <c r="A22" s="168" t="n">
        <v>18</v>
      </c>
      <c r="B22" s="83" t="inlineStr">
        <is>
          <t>81809775</t>
        </is>
      </c>
      <c r="C22" s="484" t="n"/>
      <c r="D22" s="85" t="n">
        <v>45995</v>
      </c>
      <c r="E22" s="45" t="n"/>
      <c r="F22" s="46" t="n">
        <v>18</v>
      </c>
      <c r="G22" s="45" t="n">
        <v>2020</v>
      </c>
      <c r="H22" s="45" t="n"/>
      <c r="I22" s="45" t="inlineStr">
        <is>
          <t>Hyundai</t>
        </is>
      </c>
      <c r="J22" s="45" t="n"/>
      <c r="K22" s="45" t="n"/>
      <c r="L22" s="86" t="n"/>
      <c r="M22" s="45" t="inlineStr">
        <is>
          <t>Elantra</t>
        </is>
      </c>
      <c r="N22" s="45" t="inlineStr">
        <is>
          <t>Negro</t>
        </is>
      </c>
      <c r="O22" s="46" t="n"/>
      <c r="P22" s="476" t="n"/>
      <c r="Q22" s="476" t="n"/>
      <c r="R22" s="476" t="n"/>
      <c r="S22" s="46" t="n"/>
      <c r="T22" s="476" t="n"/>
      <c r="U22" s="46" t="n"/>
      <c r="V22" s="476" t="n"/>
      <c r="W22" s="49" t="n"/>
      <c r="X22" s="476" t="n"/>
      <c r="Y22" s="476" t="n"/>
      <c r="Z22" s="46" t="n"/>
      <c r="AA22" s="476" t="n"/>
      <c r="AB22" s="46" t="n"/>
      <c r="AC22" s="476" t="n"/>
      <c r="AD22" s="46" t="n"/>
      <c r="AE22" s="480" t="n"/>
      <c r="AF22" s="46" t="n"/>
      <c r="AG22" s="480" t="n"/>
      <c r="AH22" s="46" t="n"/>
      <c r="AI22" s="480" t="n"/>
      <c r="AJ22" s="476" t="n"/>
      <c r="AK22" s="480" t="n"/>
      <c r="AL22" s="476" t="n"/>
      <c r="AM22" s="480" t="n"/>
      <c r="AN22" s="480" t="n"/>
      <c r="AO22" s="480" t="n"/>
      <c r="AP22" s="49" t="n"/>
      <c r="AQ22" s="480" t="n"/>
      <c r="AR22" s="49" t="n"/>
      <c r="AS22" s="480" t="n"/>
      <c r="AT22" s="49" t="n"/>
      <c r="AU22" s="480" t="n"/>
      <c r="AV22" s="49" t="n"/>
      <c r="AW22" s="480" t="n"/>
      <c r="AX22" s="480" t="n"/>
      <c r="AY22" s="480" t="n"/>
      <c r="AZ22" s="480" t="n"/>
      <c r="BA22" s="480" t="n"/>
      <c r="BB22" s="483" t="n"/>
    </row>
    <row r="23" ht="15.6" customHeight="1">
      <c r="A23" s="168" t="n">
        <v>19</v>
      </c>
      <c r="B23" s="76" t="inlineStr">
        <is>
          <t>80069525</t>
        </is>
      </c>
      <c r="C23" s="484" t="n"/>
      <c r="D23" s="85" t="n">
        <v>45996</v>
      </c>
      <c r="E23" s="45" t="n"/>
      <c r="F23" s="46" t="n">
        <v>19</v>
      </c>
      <c r="G23" s="45" t="n">
        <v>2020</v>
      </c>
      <c r="H23" s="45" t="n"/>
      <c r="I23" s="45" t="inlineStr">
        <is>
          <t>Hyundai</t>
        </is>
      </c>
      <c r="J23" s="45" t="n"/>
      <c r="K23" s="45" t="n"/>
      <c r="L23" s="86" t="n"/>
      <c r="M23" s="45" t="inlineStr">
        <is>
          <t>Accent</t>
        </is>
      </c>
      <c r="N23" s="45" t="inlineStr">
        <is>
          <t xml:space="preserve">Gris </t>
        </is>
      </c>
      <c r="O23" s="46" t="n"/>
      <c r="P23" s="476" t="n"/>
      <c r="Q23" s="476" t="n"/>
      <c r="R23" s="476" t="n"/>
      <c r="S23" s="46" t="n"/>
      <c r="T23" s="476" t="n"/>
      <c r="U23" s="46" t="n"/>
      <c r="V23" s="476" t="n"/>
      <c r="W23" s="49" t="n"/>
      <c r="X23" s="476" t="n"/>
      <c r="Y23" s="476" t="n"/>
      <c r="Z23" s="46" t="n"/>
      <c r="AA23" s="476" t="n"/>
      <c r="AB23" s="46" t="n"/>
      <c r="AC23" s="476" t="n"/>
      <c r="AD23" s="46" t="n"/>
      <c r="AE23" s="480" t="n"/>
      <c r="AF23" s="46" t="n"/>
      <c r="AG23" s="480" t="n"/>
      <c r="AH23" s="46" t="n"/>
      <c r="AI23" s="480" t="n"/>
      <c r="AJ23" s="476" t="n"/>
      <c r="AK23" s="480" t="n"/>
      <c r="AL23" s="476" t="n"/>
      <c r="AM23" s="480" t="n"/>
      <c r="AN23" s="480" t="n"/>
      <c r="AO23" s="480" t="n"/>
      <c r="AP23" s="49" t="n"/>
      <c r="AQ23" s="480" t="n"/>
      <c r="AR23" s="49" t="n"/>
      <c r="AS23" s="480" t="n"/>
      <c r="AT23" s="480" t="n"/>
      <c r="AU23" s="480" t="n"/>
      <c r="AV23" s="49" t="n"/>
      <c r="AW23" s="480" t="n"/>
      <c r="AX23" s="480" t="n"/>
      <c r="AY23" s="480" t="n"/>
      <c r="AZ23" s="480" t="n"/>
      <c r="BA23" s="480" t="n"/>
      <c r="BB23" s="483" t="n"/>
    </row>
    <row r="24" ht="20.25" customHeight="1" thickBot="1">
      <c r="A24" s="168" t="n">
        <v>20</v>
      </c>
      <c r="B24" s="76" t="inlineStr">
        <is>
          <t>92571825</t>
        </is>
      </c>
      <c r="C24" s="485" t="n"/>
      <c r="D24" s="85" t="n">
        <v>45996</v>
      </c>
      <c r="E24" s="45" t="n"/>
      <c r="F24" s="46" t="n">
        <v>20</v>
      </c>
      <c r="G24" s="45" t="n">
        <v>2019</v>
      </c>
      <c r="H24" s="45" t="n"/>
      <c r="I24" s="45" t="inlineStr">
        <is>
          <t xml:space="preserve">Nissan </t>
        </is>
      </c>
      <c r="J24" s="45" t="n"/>
      <c r="K24" s="45" t="n"/>
      <c r="L24" s="47" t="n"/>
      <c r="M24" s="45" t="inlineStr">
        <is>
          <t>Kicks</t>
        </is>
      </c>
      <c r="N24" s="45" t="n"/>
      <c r="O24" s="46" t="n"/>
      <c r="P24" s="476" t="n"/>
      <c r="Q24" s="476" t="n"/>
      <c r="R24" s="476" t="n"/>
      <c r="S24" s="46" t="n"/>
      <c r="T24" s="476" t="n"/>
      <c r="U24" s="46" t="n"/>
      <c r="V24" s="476" t="n"/>
      <c r="W24" s="476" t="n"/>
      <c r="X24" s="476" t="n"/>
      <c r="Y24" s="476" t="n"/>
      <c r="Z24" s="46" t="n"/>
      <c r="AA24" s="476" t="n"/>
      <c r="AB24" s="46" t="n"/>
      <c r="AC24" s="476" t="n"/>
      <c r="AD24" s="46" t="n"/>
      <c r="AE24" s="480" t="n"/>
      <c r="AF24" s="46" t="n"/>
      <c r="AG24" s="480" t="n"/>
      <c r="AH24" s="46" t="n"/>
      <c r="AI24" s="480" t="n"/>
      <c r="AJ24" s="476" t="n"/>
      <c r="AK24" s="480" t="n"/>
      <c r="AL24" s="476" t="n"/>
      <c r="AM24" s="480" t="n"/>
      <c r="AN24" s="480" t="n"/>
      <c r="AO24" s="480" t="n"/>
      <c r="AP24" s="49" t="n"/>
      <c r="AQ24" s="480" t="n"/>
      <c r="AR24" s="49" t="n"/>
      <c r="AS24" s="480" t="n"/>
      <c r="AT24" s="480" t="n"/>
      <c r="AU24" s="480" t="n"/>
      <c r="AV24" s="49" t="n"/>
      <c r="AW24" s="480" t="n"/>
      <c r="AX24" s="480" t="n"/>
      <c r="AY24" s="480" t="n"/>
      <c r="AZ24" s="480" t="n"/>
      <c r="BA24" s="480" t="n"/>
      <c r="BB24" s="483" t="n"/>
    </row>
    <row r="25" ht="31.8" customFormat="1" customHeight="1" s="120" thickBot="1">
      <c r="A25" s="165" t="n">
        <v>21</v>
      </c>
      <c r="B25" s="121" t="n">
        <v>85282515</v>
      </c>
      <c r="C25" s="486" t="n">
        <v>2026</v>
      </c>
      <c r="D25" s="5" t="n">
        <v>46028</v>
      </c>
      <c r="E25" s="6" t="n"/>
      <c r="F25" s="10" t="n">
        <v>21</v>
      </c>
      <c r="G25" s="6" t="n">
        <v>2019</v>
      </c>
      <c r="H25" s="6" t="n"/>
      <c r="I25" s="6" t="inlineStr">
        <is>
          <t xml:space="preserve">Hyundai </t>
        </is>
      </c>
      <c r="J25" s="7" t="n"/>
      <c r="K25" s="7" t="n"/>
      <c r="L25" s="8" t="n"/>
      <c r="M25" s="7" t="inlineStr">
        <is>
          <t>Tucson Limited</t>
        </is>
      </c>
      <c r="N25" s="7" t="inlineStr">
        <is>
          <t>Negro</t>
        </is>
      </c>
      <c r="O25" s="9" t="n"/>
      <c r="P25" s="487" t="n"/>
      <c r="Q25" s="487" t="n"/>
      <c r="R25" s="487" t="n"/>
      <c r="S25" s="9" t="n"/>
      <c r="T25" s="487" t="n"/>
      <c r="U25" s="9" t="n"/>
      <c r="V25" s="487" t="n"/>
      <c r="W25" s="9" t="n"/>
      <c r="X25" s="487" t="n"/>
      <c r="Y25" s="487" t="n"/>
      <c r="Z25" s="9" t="n"/>
      <c r="AA25" s="487" t="n"/>
      <c r="AB25" s="10" t="n"/>
      <c r="AC25" s="487" t="n"/>
      <c r="AD25" s="10" t="n"/>
      <c r="AE25" s="488" t="n"/>
      <c r="AF25" s="10" t="n"/>
      <c r="AG25" s="488" t="n"/>
      <c r="AH25" s="10" t="n"/>
      <c r="AI25" s="488" t="n"/>
      <c r="AJ25" s="487" t="n"/>
      <c r="AK25" s="488" t="n"/>
      <c r="AL25" s="487" t="n"/>
      <c r="AM25" s="488" t="n"/>
      <c r="AN25" s="488" t="n"/>
      <c r="AO25" s="480" t="n"/>
      <c r="AP25" s="9" t="n"/>
      <c r="AQ25" s="488" t="n"/>
      <c r="AR25" s="9" t="n"/>
      <c r="AS25" s="488" t="n"/>
      <c r="AT25" s="488" t="n"/>
      <c r="AU25" s="488" t="n"/>
      <c r="AV25" s="488" t="n"/>
      <c r="AW25" s="488" t="n"/>
      <c r="AX25" s="488" t="n"/>
      <c r="AY25" s="488" t="n"/>
      <c r="AZ25" s="488" t="n"/>
      <c r="BA25" s="488" t="n"/>
      <c r="BB25" s="489" t="n"/>
    </row>
    <row r="26" ht="16.2" customHeight="1" thickBot="1">
      <c r="A26" s="168" t="n">
        <v>22</v>
      </c>
      <c r="B26" s="84" t="inlineStr">
        <is>
          <t>93970575</t>
        </is>
      </c>
      <c r="C26" s="484" t="n"/>
      <c r="D26" s="44" t="n">
        <v>46028</v>
      </c>
      <c r="E26" s="45" t="n"/>
      <c r="F26" s="78" t="n">
        <v>22</v>
      </c>
      <c r="G26" s="45" t="n"/>
      <c r="H26" s="45" t="n"/>
      <c r="I26" s="45" t="inlineStr">
        <is>
          <t>Kia</t>
        </is>
      </c>
      <c r="J26" s="79" t="n"/>
      <c r="K26" s="79" t="n"/>
      <c r="L26" s="47" t="n"/>
      <c r="M26" s="79" t="inlineStr">
        <is>
          <t>Forte Fe</t>
        </is>
      </c>
      <c r="N26" s="79" t="inlineStr">
        <is>
          <t>Blanco</t>
        </is>
      </c>
      <c r="O26" s="49" t="n"/>
      <c r="P26" s="475" t="n"/>
      <c r="Q26" s="475" t="n"/>
      <c r="R26" s="476" t="n"/>
      <c r="S26" s="49" t="n"/>
      <c r="T26" s="475" t="n"/>
      <c r="U26" s="49" t="n"/>
      <c r="V26" s="475" t="n"/>
      <c r="W26" s="49" t="n"/>
      <c r="X26" s="475" t="n"/>
      <c r="Y26" s="476" t="n"/>
      <c r="Z26" s="46" t="n"/>
      <c r="AA26" s="476" t="n"/>
      <c r="AB26" s="46" t="n"/>
      <c r="AC26" s="476" t="n"/>
      <c r="AD26" s="46" t="n"/>
      <c r="AE26" s="480" t="n"/>
      <c r="AF26" s="46" t="n"/>
      <c r="AG26" s="480" t="n"/>
      <c r="AH26" s="46" t="n"/>
      <c r="AI26" s="480" t="n"/>
      <c r="AJ26" s="476" t="n"/>
      <c r="AK26" s="480" t="n"/>
      <c r="AL26" s="46" t="n"/>
      <c r="AM26" s="480" t="n"/>
      <c r="AN26" s="480" t="n"/>
      <c r="AO26" s="480" t="n"/>
      <c r="AP26" s="49" t="n"/>
      <c r="AQ26" s="480" t="n"/>
      <c r="AR26" s="49" t="n"/>
      <c r="AS26" s="480" t="n"/>
      <c r="AT26" s="480" t="n"/>
      <c r="AU26" s="480" t="n"/>
      <c r="AV26" s="49" t="n"/>
      <c r="AW26" s="480" t="n"/>
      <c r="AX26" s="480" t="n"/>
      <c r="AY26" s="480" t="n"/>
      <c r="AZ26" s="480" t="n"/>
      <c r="BA26" s="480" t="n"/>
      <c r="BB26" s="483" t="n"/>
    </row>
    <row r="27" ht="16.2" customFormat="1" customHeight="1" s="137" thickBot="1">
      <c r="A27" s="165" t="n">
        <v>23</v>
      </c>
      <c r="B27" s="35" t="inlineStr">
        <is>
          <t>94475305</t>
        </is>
      </c>
      <c r="C27" s="484" t="n"/>
      <c r="D27" s="43" t="n">
        <v>46029</v>
      </c>
      <c r="E27" s="36" t="n"/>
      <c r="F27" s="37" t="n">
        <v>23</v>
      </c>
      <c r="G27" s="36" t="n">
        <v>2020</v>
      </c>
      <c r="H27" s="36" t="n"/>
      <c r="I27" s="36" t="inlineStr">
        <is>
          <t xml:space="preserve">Hyundai </t>
        </is>
      </c>
      <c r="J27" s="36" t="n"/>
      <c r="K27" s="36" t="n"/>
      <c r="L27" s="39" t="n"/>
      <c r="M27" s="36" t="inlineStr">
        <is>
          <t>Elantra</t>
        </is>
      </c>
      <c r="N27" s="36" t="inlineStr">
        <is>
          <t>Rojo</t>
        </is>
      </c>
      <c r="O27" s="37" t="n"/>
      <c r="P27" s="490" t="n"/>
      <c r="Q27" s="490" t="n"/>
      <c r="R27" s="490" t="n"/>
      <c r="S27" s="37" t="n"/>
      <c r="T27" s="490" t="n"/>
      <c r="U27" s="37" t="n"/>
      <c r="V27" s="490" t="n"/>
      <c r="W27" s="37" t="n"/>
      <c r="X27" s="490" t="n"/>
      <c r="Y27" s="490" t="n"/>
      <c r="Z27" s="37" t="n"/>
      <c r="AA27" s="490" t="n"/>
      <c r="AB27" s="37" t="n"/>
      <c r="AC27" s="490" t="n"/>
      <c r="AD27" s="37" t="n"/>
      <c r="AE27" s="491" t="n"/>
      <c r="AF27" s="37" t="n"/>
      <c r="AG27" s="491" t="n"/>
      <c r="AH27" s="37" t="n"/>
      <c r="AI27" s="491" t="n"/>
      <c r="AJ27" s="37" t="n"/>
      <c r="AK27" s="491" t="n"/>
      <c r="AL27" s="37" t="n"/>
      <c r="AM27" s="491" t="n"/>
      <c r="AN27" s="491" t="n"/>
      <c r="AO27" s="491" t="n"/>
      <c r="AP27" s="135" t="n"/>
      <c r="AQ27" s="491" t="n"/>
      <c r="AR27" s="135" t="n"/>
      <c r="AS27" s="491" t="n"/>
      <c r="AT27" s="491" t="n"/>
      <c r="AU27" s="491" t="n"/>
      <c r="AV27" s="135" t="n"/>
      <c r="AW27" s="491" t="n"/>
      <c r="AX27" s="491" t="n"/>
      <c r="AY27" s="491" t="n"/>
      <c r="AZ27" s="491" t="n"/>
      <c r="BA27" s="491" t="n"/>
      <c r="BB27" s="492" t="n"/>
    </row>
    <row r="28" ht="16.2" customFormat="1" customHeight="1" s="120" thickBot="1">
      <c r="A28" s="166" t="n">
        <v>24</v>
      </c>
      <c r="B28" s="125" t="inlineStr">
        <is>
          <t>90341025</t>
        </is>
      </c>
      <c r="C28" s="484" t="n"/>
      <c r="D28" s="5" t="n">
        <v>46029</v>
      </c>
      <c r="E28" s="6" t="n"/>
      <c r="F28" s="10" t="n">
        <v>24</v>
      </c>
      <c r="G28" s="6" t="n">
        <v>2022</v>
      </c>
      <c r="H28" s="6" t="n"/>
      <c r="I28" s="6" t="inlineStr">
        <is>
          <t xml:space="preserve">Chevrolet </t>
        </is>
      </c>
      <c r="J28" s="6" t="n"/>
      <c r="K28" s="6" t="n"/>
      <c r="L28" s="8" t="n"/>
      <c r="M28" s="6" t="inlineStr">
        <is>
          <t>Spark</t>
        </is>
      </c>
      <c r="N28" s="6" t="inlineStr">
        <is>
          <t>Azul</t>
        </is>
      </c>
      <c r="O28" s="10" t="n"/>
      <c r="P28" s="487" t="n"/>
      <c r="Q28" s="487" t="n"/>
      <c r="R28" s="487" t="n"/>
      <c r="S28" s="10" t="n"/>
      <c r="T28" s="487" t="n"/>
      <c r="U28" s="10" t="n"/>
      <c r="V28" s="487" t="n"/>
      <c r="W28" s="10" t="n"/>
      <c r="X28" s="487" t="n"/>
      <c r="Y28" s="487" t="n"/>
      <c r="Z28" s="10" t="n"/>
      <c r="AA28" s="487" t="n"/>
      <c r="AB28" s="10" t="n"/>
      <c r="AC28" s="487" t="n"/>
      <c r="AD28" s="10" t="n"/>
      <c r="AE28" s="488" t="n"/>
      <c r="AF28" s="10" t="n"/>
      <c r="AG28" s="488" t="n"/>
      <c r="AH28" s="10" t="n"/>
      <c r="AI28" s="488" t="n"/>
      <c r="AJ28" s="10" t="n"/>
      <c r="AK28" s="488" t="n"/>
      <c r="AL28" s="10" t="n"/>
      <c r="AM28" s="488" t="n"/>
      <c r="AN28" s="488" t="n"/>
      <c r="AO28" s="491" t="n"/>
      <c r="AP28" s="9" t="n"/>
      <c r="AQ28" s="488" t="n"/>
      <c r="AR28" s="9" t="n"/>
      <c r="AS28" s="488" t="n"/>
      <c r="AT28" s="488" t="n"/>
      <c r="AU28" s="488" t="n"/>
      <c r="AV28" s="488" t="n"/>
      <c r="AW28" s="488" t="n"/>
      <c r="AX28" s="9" t="n"/>
      <c r="AY28" s="488" t="n"/>
      <c r="AZ28" s="488" t="n"/>
      <c r="BA28" s="488" t="n"/>
      <c r="BB28" s="489" t="n"/>
    </row>
    <row r="29" ht="16.2" customFormat="1" customHeight="1" s="120" thickBot="1">
      <c r="A29" s="165" t="n">
        <v>25</v>
      </c>
      <c r="B29" s="125" t="inlineStr">
        <is>
          <t>95636305</t>
        </is>
      </c>
      <c r="C29" s="484" t="n"/>
      <c r="D29" s="5" t="n">
        <v>46029</v>
      </c>
      <c r="E29" s="6" t="n"/>
      <c r="F29" s="10" t="n">
        <v>25</v>
      </c>
      <c r="G29" s="6" t="n">
        <v>2020</v>
      </c>
      <c r="H29" s="6" t="n"/>
      <c r="I29" s="6" t="inlineStr">
        <is>
          <t>Nissan</t>
        </is>
      </c>
      <c r="J29" s="6" t="n"/>
      <c r="K29" s="6" t="n"/>
      <c r="L29" s="8" t="n"/>
      <c r="M29" s="6" t="inlineStr">
        <is>
          <t>Sentra</t>
        </is>
      </c>
      <c r="N29" s="6" t="inlineStr">
        <is>
          <t>Blanco</t>
        </is>
      </c>
      <c r="O29" s="10" t="n"/>
      <c r="P29" s="487" t="n"/>
      <c r="Q29" s="487" t="n"/>
      <c r="R29" s="487" t="n"/>
      <c r="S29" s="10" t="n"/>
      <c r="T29" s="487" t="n"/>
      <c r="U29" s="10" t="n"/>
      <c r="V29" s="487" t="n"/>
      <c r="W29" s="10" t="n"/>
      <c r="X29" s="487" t="n"/>
      <c r="Y29" s="487" t="n"/>
      <c r="Z29" s="10" t="n"/>
      <c r="AA29" s="487" t="n"/>
      <c r="AB29" s="10" t="n"/>
      <c r="AC29" s="487" t="n"/>
      <c r="AD29" s="10" t="n"/>
      <c r="AE29" s="488" t="n"/>
      <c r="AF29" s="10" t="n"/>
      <c r="AG29" s="488" t="n"/>
      <c r="AH29" s="10" t="n"/>
      <c r="AI29" s="488" t="n"/>
      <c r="AJ29" s="487" t="n"/>
      <c r="AK29" s="488" t="n"/>
      <c r="AL29" s="10" t="n"/>
      <c r="AM29" s="488" t="n"/>
      <c r="AN29" s="488" t="n"/>
      <c r="AO29" s="488" t="n"/>
      <c r="AP29" s="9" t="n"/>
      <c r="AQ29" s="488" t="n"/>
      <c r="AR29" s="9" t="n"/>
      <c r="AS29" s="488" t="n"/>
      <c r="AT29" s="488" t="n"/>
      <c r="AU29" s="488" t="n"/>
      <c r="AV29" s="488" t="n"/>
      <c r="AW29" s="488" t="n"/>
      <c r="AX29" s="488" t="n"/>
      <c r="AY29" s="488" t="n"/>
      <c r="AZ29" s="488" t="n"/>
      <c r="BA29" s="493" t="n"/>
      <c r="BB29" s="489" t="n"/>
    </row>
    <row r="30" ht="16.2" customFormat="1" customHeight="1" s="120" thickBot="1">
      <c r="A30" s="166" t="n">
        <v>26</v>
      </c>
      <c r="B30" s="122" t="n">
        <v>74284945</v>
      </c>
      <c r="C30" s="484" t="n"/>
      <c r="D30" s="5" t="n">
        <v>46076</v>
      </c>
      <c r="E30" s="494" t="n"/>
      <c r="F30" s="10" t="n">
        <v>26</v>
      </c>
      <c r="G30" s="6" t="n">
        <v>2020</v>
      </c>
      <c r="H30" s="494" t="n"/>
      <c r="I30" s="494" t="inlineStr">
        <is>
          <t xml:space="preserve">Kia </t>
        </is>
      </c>
      <c r="J30" s="494" t="n"/>
      <c r="K30" s="494" t="n"/>
      <c r="L30" s="494" t="n"/>
      <c r="M30" s="494" t="inlineStr">
        <is>
          <t>Rio LX</t>
        </is>
      </c>
      <c r="N30" s="494" t="inlineStr">
        <is>
          <t>Negro</t>
        </is>
      </c>
      <c r="O30" s="10" t="n"/>
      <c r="P30" s="494" t="n"/>
      <c r="Q30" s="494" t="n"/>
      <c r="R30" s="124" t="n"/>
      <c r="S30" s="124" t="n"/>
      <c r="T30" s="124" t="n"/>
      <c r="U30" s="124" t="n"/>
      <c r="V30" s="124" t="n"/>
      <c r="W30" s="124" t="n"/>
      <c r="X30" s="124" t="n"/>
      <c r="Y30" s="487" t="n"/>
      <c r="Z30" s="10" t="n"/>
      <c r="AA30" s="487" t="n"/>
      <c r="AB30" s="10" t="n"/>
      <c r="AC30" s="487" t="n"/>
      <c r="AD30" s="10" t="n"/>
      <c r="AE30" s="488" t="n"/>
      <c r="AF30" s="10" t="n"/>
      <c r="AG30" s="488" t="n"/>
      <c r="AH30" s="10" t="n"/>
      <c r="AI30" s="488" t="n"/>
      <c r="AJ30" s="487" t="n"/>
      <c r="AK30" s="488" t="n"/>
      <c r="AL30" s="10" t="n"/>
      <c r="AM30" s="488" t="n"/>
      <c r="AN30" s="488" t="n"/>
      <c r="AO30" s="488" t="n"/>
      <c r="AP30" s="9" t="n"/>
      <c r="AQ30" s="488" t="n"/>
      <c r="AR30" s="9" t="n"/>
      <c r="AS30" s="488" t="n"/>
      <c r="AT30" s="488" t="n"/>
      <c r="AU30" s="488" t="n"/>
      <c r="AV30" s="488" t="n"/>
      <c r="AW30" s="488" t="n"/>
      <c r="AX30" s="488" t="n"/>
      <c r="AY30" s="488" t="n"/>
      <c r="AZ30" s="488" t="n"/>
      <c r="BA30" s="488" t="n"/>
      <c r="BB30" s="489" t="n"/>
    </row>
    <row r="31" ht="16.2" customFormat="1" customHeight="1" s="120" thickBot="1">
      <c r="A31" s="165" t="n">
        <v>27</v>
      </c>
      <c r="B31" s="122" t="n">
        <v>97552065</v>
      </c>
      <c r="C31" s="484" t="n"/>
      <c r="D31" s="5" t="n">
        <v>46076</v>
      </c>
      <c r="E31" s="494" t="n"/>
      <c r="F31" s="33" t="n">
        <v>27</v>
      </c>
      <c r="G31" s="6" t="n">
        <v>2019</v>
      </c>
      <c r="H31" s="494" t="n"/>
      <c r="I31" s="494" t="inlineStr">
        <is>
          <t xml:space="preserve">Chevrolet </t>
        </is>
      </c>
      <c r="J31" s="494" t="n"/>
      <c r="K31" s="494" t="n"/>
      <c r="L31" s="494" t="n"/>
      <c r="M31" s="494" t="inlineStr">
        <is>
          <t>Trax</t>
        </is>
      </c>
      <c r="N31" s="494" t="inlineStr">
        <is>
          <t xml:space="preserve">Gris </t>
        </is>
      </c>
      <c r="O31" s="10" t="n"/>
      <c r="P31" s="494" t="n"/>
      <c r="Q31" s="494" t="n"/>
      <c r="R31" s="494" t="n"/>
      <c r="S31" s="124" t="n"/>
      <c r="T31" s="124" t="n"/>
      <c r="U31" s="124" t="n"/>
      <c r="V31" s="124" t="n"/>
      <c r="W31" s="124" t="n"/>
      <c r="X31" s="124" t="n"/>
      <c r="Y31" s="487" t="n"/>
      <c r="Z31" s="124" t="n"/>
      <c r="AA31" s="494" t="n"/>
      <c r="AB31" s="124" t="n"/>
      <c r="AC31" s="494" t="n"/>
      <c r="AD31" s="124" t="n"/>
      <c r="AE31" s="494" t="n"/>
      <c r="AF31" s="124" t="n"/>
      <c r="AG31" s="494" t="n"/>
      <c r="AH31" s="124" t="n"/>
      <c r="AI31" s="494" t="n"/>
      <c r="AJ31" s="124" t="n"/>
      <c r="AK31" s="494" t="n"/>
      <c r="AL31" s="124" t="n"/>
      <c r="AM31" s="124" t="n"/>
      <c r="AN31" s="124" t="n"/>
      <c r="AO31" s="124" t="n"/>
      <c r="AP31" s="9" t="n"/>
      <c r="AQ31" s="124" t="n"/>
      <c r="AR31" s="9" t="n"/>
      <c r="AS31" s="124" t="n"/>
      <c r="AT31" s="488" t="n"/>
      <c r="AU31" s="488" t="n"/>
      <c r="AV31" s="124" t="n"/>
      <c r="AW31" s="494" t="n"/>
      <c r="AX31" s="124" t="n"/>
      <c r="AY31" s="124" t="n"/>
      <c r="AZ31" s="124" t="n"/>
      <c r="BA31" s="488" t="n"/>
      <c r="BB31" s="489" t="n"/>
    </row>
    <row r="32" ht="15.6" customFormat="1" customHeight="1" s="29">
      <c r="A32" s="168" t="n">
        <v>28</v>
      </c>
      <c r="B32" s="67" t="n">
        <v>48992325</v>
      </c>
      <c r="C32" s="484" t="n"/>
      <c r="D32" s="40" t="n">
        <v>46076</v>
      </c>
      <c r="E32" s="495" t="n"/>
      <c r="F32" s="18" t="n">
        <v>28</v>
      </c>
      <c r="G32" s="16" t="n">
        <v>2019</v>
      </c>
      <c r="H32" s="495" t="n"/>
      <c r="I32" s="495" t="inlineStr">
        <is>
          <t>Hyundai</t>
        </is>
      </c>
      <c r="J32" s="495" t="n"/>
      <c r="K32" s="495" t="n"/>
      <c r="L32" s="495" t="n"/>
      <c r="M32" s="495" t="inlineStr">
        <is>
          <t xml:space="preserve">Tucson </t>
        </is>
      </c>
      <c r="N32" s="495" t="n"/>
      <c r="O32" s="18" t="n"/>
      <c r="P32" s="495" t="n"/>
      <c r="Q32" s="18" t="n"/>
      <c r="R32" s="495" t="n"/>
      <c r="S32" s="42" t="n"/>
      <c r="T32" s="495" t="n"/>
      <c r="U32" s="42" t="n"/>
      <c r="V32" s="42" t="n"/>
      <c r="W32" s="42" t="n"/>
      <c r="X32" s="42" t="n"/>
      <c r="Y32" s="496" t="n"/>
      <c r="Z32" s="42" t="n"/>
      <c r="AA32" s="495" t="n"/>
      <c r="AB32" s="42" t="n"/>
      <c r="AC32" s="495" t="n"/>
      <c r="AD32" s="42" t="n"/>
      <c r="AE32" s="495" t="n"/>
      <c r="AF32" s="42" t="n"/>
      <c r="AG32" s="495" t="n"/>
      <c r="AH32" s="42" t="n"/>
      <c r="AI32" s="495" t="n"/>
      <c r="AJ32" s="42" t="n"/>
      <c r="AK32" s="42" t="n"/>
      <c r="AL32" s="42" t="n"/>
      <c r="AM32" s="42" t="n"/>
      <c r="AN32" s="42" t="n"/>
      <c r="AO32" s="495" t="n"/>
      <c r="AP32" s="19" t="n"/>
      <c r="AQ32" s="42" t="n"/>
      <c r="AR32" s="19" t="n"/>
      <c r="AS32" s="42" t="n"/>
      <c r="AT32" s="42" t="n"/>
      <c r="AU32" s="495" t="n"/>
      <c r="AV32" s="42" t="n"/>
      <c r="AW32" s="495" t="n"/>
      <c r="AX32" s="42" t="n"/>
      <c r="AY32" s="42" t="n"/>
      <c r="AZ32" s="495" t="n"/>
      <c r="BA32" s="497" t="n"/>
      <c r="BB32" s="498" t="n"/>
    </row>
    <row r="33" ht="15.6" customFormat="1" customHeight="1" s="120">
      <c r="A33" s="166" t="n">
        <v>29</v>
      </c>
      <c r="B33" s="128" t="n">
        <v>95831325</v>
      </c>
      <c r="C33" s="484" t="n"/>
      <c r="D33" s="5" t="n">
        <v>46079</v>
      </c>
      <c r="E33" s="494" t="n"/>
      <c r="F33" s="10" t="n">
        <v>29</v>
      </c>
      <c r="G33" s="6" t="n">
        <v>2022</v>
      </c>
      <c r="H33" s="494" t="n"/>
      <c r="I33" s="494" t="inlineStr">
        <is>
          <t xml:space="preserve">Nissan </t>
        </is>
      </c>
      <c r="J33" s="494" t="n"/>
      <c r="K33" s="494" t="n"/>
      <c r="L33" s="494" t="n"/>
      <c r="M33" s="494" t="inlineStr">
        <is>
          <t>Sentra S</t>
        </is>
      </c>
      <c r="N33" s="494" t="inlineStr">
        <is>
          <t>Negro</t>
        </is>
      </c>
      <c r="O33" s="10" t="n"/>
      <c r="P33" s="494" t="n"/>
      <c r="Q33" s="494" t="n"/>
      <c r="R33" s="494" t="n"/>
      <c r="S33" s="124" t="n"/>
      <c r="T33" s="494" t="n"/>
      <c r="U33" s="124" t="n"/>
      <c r="V33" s="124" t="n"/>
      <c r="W33" s="124" t="n"/>
      <c r="X33" s="124" t="n"/>
      <c r="Y33" s="487" t="n"/>
      <c r="Z33" s="124" t="n"/>
      <c r="AA33" s="494" t="n"/>
      <c r="AB33" s="124" t="n"/>
      <c r="AC33" s="494" t="n"/>
      <c r="AD33" s="124" t="n"/>
      <c r="AE33" s="494" t="n"/>
      <c r="AF33" s="124" t="n"/>
      <c r="AG33" s="494" t="n"/>
      <c r="AH33" s="124" t="n"/>
      <c r="AI33" s="494" t="n"/>
      <c r="AJ33" s="124" t="n"/>
      <c r="AK33" s="124" t="n"/>
      <c r="AL33" s="124" t="n"/>
      <c r="AM33" s="124" t="n"/>
      <c r="AN33" s="124" t="n"/>
      <c r="AO33" s="494" t="n"/>
      <c r="AP33" s="9" t="n"/>
      <c r="AQ33" s="124" t="n"/>
      <c r="AR33" s="9" t="n"/>
      <c r="AS33" s="124" t="n"/>
      <c r="AT33" s="124" t="n"/>
      <c r="AU33" s="494" t="n"/>
      <c r="AV33" s="124" t="n"/>
      <c r="AW33" s="494" t="n"/>
      <c r="AX33" s="124" t="n"/>
      <c r="AY33" s="124" t="n"/>
      <c r="AZ33" s="124" t="n"/>
      <c r="BA33" s="488" t="n"/>
      <c r="BB33" s="499" t="n"/>
    </row>
    <row r="34" ht="15.6" customFormat="1" customHeight="1" s="120">
      <c r="A34" s="168" t="n">
        <v>30</v>
      </c>
      <c r="B34" s="128" t="inlineStr">
        <is>
          <t>75884695</t>
        </is>
      </c>
      <c r="C34" s="484" t="n"/>
      <c r="D34" s="5" t="n">
        <v>46079</v>
      </c>
      <c r="E34" s="494" t="n"/>
      <c r="F34" s="10" t="n">
        <v>30</v>
      </c>
      <c r="G34" s="6" t="n">
        <v>2020</v>
      </c>
      <c r="H34" s="494" t="n"/>
      <c r="I34" s="494" t="inlineStr">
        <is>
          <t>Hyundai</t>
        </is>
      </c>
      <c r="J34" s="494" t="n"/>
      <c r="K34" s="494" t="n"/>
      <c r="L34" s="494" t="n"/>
      <c r="M34" s="494" t="inlineStr">
        <is>
          <t>Santa Fe SE</t>
        </is>
      </c>
      <c r="N34" s="494" t="inlineStr">
        <is>
          <t>Rojo</t>
        </is>
      </c>
      <c r="O34" s="10" t="n"/>
      <c r="P34" s="494" t="n"/>
      <c r="Q34" s="494" t="n"/>
      <c r="R34" s="494" t="n"/>
      <c r="S34" s="124" t="n"/>
      <c r="T34" s="494" t="n"/>
      <c r="U34" s="124" t="n"/>
      <c r="V34" s="494" t="n"/>
      <c r="W34" s="124" t="n"/>
      <c r="X34" s="124" t="n"/>
      <c r="Y34" s="487" t="n"/>
      <c r="Z34" s="124" t="n"/>
      <c r="AA34" s="494" t="n"/>
      <c r="AB34" s="124" t="n"/>
      <c r="AC34" s="494" t="n"/>
      <c r="AD34" s="124" t="n"/>
      <c r="AE34" s="494" t="n"/>
      <c r="AF34" s="124" t="n"/>
      <c r="AG34" s="494" t="n"/>
      <c r="AH34" s="124" t="n"/>
      <c r="AI34" s="494" t="n"/>
      <c r="AJ34" s="124" t="n"/>
      <c r="AK34" s="124" t="n"/>
      <c r="AL34" s="124" t="n"/>
      <c r="AM34" s="494" t="n"/>
      <c r="AN34" s="124" t="n"/>
      <c r="AO34" s="494" t="n"/>
      <c r="AP34" s="9" t="n"/>
      <c r="AQ34" s="124" t="n"/>
      <c r="AR34" s="9" t="n"/>
      <c r="AS34" s="124" t="n"/>
      <c r="AT34" s="124" t="n"/>
      <c r="AU34" s="494" t="n"/>
      <c r="AV34" s="124" t="n"/>
      <c r="AW34" s="494" t="n"/>
      <c r="AX34" s="124" t="n"/>
      <c r="AY34" s="124" t="n"/>
      <c r="AZ34" s="124" t="n"/>
      <c r="BA34" s="488" t="n"/>
      <c r="BB34" s="499" t="n"/>
    </row>
    <row r="35" ht="15.6" customFormat="1" customHeight="1" s="120">
      <c r="A35" s="168" t="n">
        <v>31</v>
      </c>
      <c r="B35" s="130" t="n">
        <v>96814985</v>
      </c>
      <c r="C35" s="484" t="n"/>
      <c r="D35" s="5" t="n">
        <v>46090</v>
      </c>
      <c r="E35" s="494" t="n"/>
      <c r="F35" s="10" t="n">
        <v>31</v>
      </c>
      <c r="G35" s="6" t="n">
        <v>2019</v>
      </c>
      <c r="H35" s="494" t="n"/>
      <c r="I35" s="494" t="inlineStr">
        <is>
          <t>Mazda</t>
        </is>
      </c>
      <c r="J35" s="494" t="n"/>
      <c r="K35" s="494" t="n"/>
      <c r="L35" s="494" t="n"/>
      <c r="M35" s="494" t="inlineStr">
        <is>
          <t>CX-9</t>
        </is>
      </c>
      <c r="N35" s="494" t="inlineStr">
        <is>
          <t>Azul</t>
        </is>
      </c>
      <c r="O35" s="10" t="n"/>
      <c r="P35" s="494" t="n"/>
      <c r="Q35" s="494" t="n"/>
      <c r="R35" s="494" t="n"/>
      <c r="S35" s="124" t="n"/>
      <c r="T35" s="494" t="n"/>
      <c r="U35" s="10" t="n"/>
      <c r="V35" s="494" t="n"/>
      <c r="W35" s="124" t="n"/>
      <c r="X35" s="124" t="n"/>
      <c r="Y35" s="487" t="n"/>
      <c r="Z35" s="124" t="n"/>
      <c r="AA35" s="494" t="n"/>
      <c r="AB35" s="124" t="n"/>
      <c r="AC35" s="494" t="n"/>
      <c r="AD35" s="124" t="n"/>
      <c r="AE35" s="494" t="n"/>
      <c r="AF35" s="124" t="n"/>
      <c r="AG35" s="494" t="n"/>
      <c r="AH35" s="124" t="n"/>
      <c r="AI35" s="494" t="n"/>
      <c r="AJ35" s="124" t="n"/>
      <c r="AK35" s="124" t="n"/>
      <c r="AL35" s="124" t="n"/>
      <c r="AM35" s="494" t="n"/>
      <c r="AN35" s="124" t="n"/>
      <c r="AO35" s="494" t="n"/>
      <c r="AP35" s="9" t="n"/>
      <c r="AQ35" s="124" t="n"/>
      <c r="AR35" s="9" t="n"/>
      <c r="AS35" s="124" t="n"/>
      <c r="AT35" s="124" t="n"/>
      <c r="AU35" s="494" t="n"/>
      <c r="AV35" s="124" t="n"/>
      <c r="AW35" s="494" t="n"/>
      <c r="AX35" s="124" t="n"/>
      <c r="AY35" s="124" t="n"/>
      <c r="AZ35" s="124" t="n"/>
      <c r="BA35" s="488" t="n"/>
      <c r="BB35" s="499" t="n"/>
    </row>
    <row r="36" ht="15.6" customFormat="1" customHeight="1" s="120">
      <c r="A36" s="166" t="n">
        <v>32</v>
      </c>
      <c r="B36" s="130" t="n">
        <v>97933025</v>
      </c>
      <c r="C36" s="484" t="n"/>
      <c r="D36" s="5" t="n">
        <v>46090</v>
      </c>
      <c r="E36" s="494" t="n"/>
      <c r="F36" s="10" t="n">
        <v>32</v>
      </c>
      <c r="G36" s="6" t="n">
        <v>2019</v>
      </c>
      <c r="H36" s="494" t="n"/>
      <c r="I36" s="494" t="inlineStr">
        <is>
          <t xml:space="preserve">Nissan </t>
        </is>
      </c>
      <c r="J36" s="494" t="n"/>
      <c r="K36" s="494" t="n"/>
      <c r="L36" s="494" t="n"/>
      <c r="M36" s="494" t="inlineStr">
        <is>
          <t>Rohue Sport</t>
        </is>
      </c>
      <c r="N36" s="494" t="inlineStr">
        <is>
          <t xml:space="preserve">Gris </t>
        </is>
      </c>
      <c r="O36" s="10" t="n"/>
      <c r="P36" s="494" t="n"/>
      <c r="Q36" s="494" t="n"/>
      <c r="R36" s="494" t="n"/>
      <c r="S36" s="124" t="n"/>
      <c r="T36" s="494" t="n"/>
      <c r="U36" s="10" t="n"/>
      <c r="V36" s="494" t="n"/>
      <c r="W36" s="124" t="n"/>
      <c r="X36" s="124" t="n"/>
      <c r="Y36" s="487" t="n"/>
      <c r="Z36" s="124" t="n"/>
      <c r="AA36" s="494" t="n"/>
      <c r="AB36" s="124" t="n"/>
      <c r="AC36" s="494" t="n"/>
      <c r="AD36" s="124" t="n"/>
      <c r="AE36" s="494" t="n"/>
      <c r="AF36" s="124" t="n"/>
      <c r="AG36" s="494" t="n"/>
      <c r="AH36" s="124" t="n"/>
      <c r="AI36" s="500" t="n"/>
      <c r="AJ36" s="124" t="n"/>
      <c r="AK36" s="494" t="n"/>
      <c r="AL36" s="124" t="n"/>
      <c r="AM36" s="494" t="n"/>
      <c r="AN36" s="124" t="n"/>
      <c r="AO36" s="494" t="n"/>
      <c r="AP36" s="9" t="n"/>
      <c r="AQ36" s="124" t="n"/>
      <c r="AR36" s="9" t="n"/>
      <c r="AS36" s="124" t="n"/>
      <c r="AT36" s="124" t="n"/>
      <c r="AU36" s="494" t="n"/>
      <c r="AV36" s="124" t="n"/>
      <c r="AW36" s="124" t="n"/>
      <c r="AX36" s="124" t="n"/>
      <c r="AY36" s="124" t="n"/>
      <c r="AZ36" s="124" t="n"/>
      <c r="BA36" s="488" t="n"/>
      <c r="BB36" s="499" t="n"/>
    </row>
    <row r="37" ht="15.6" customFormat="1" customHeight="1" s="120">
      <c r="A37" s="166" t="n">
        <v>33</v>
      </c>
      <c r="B37" s="130" t="n">
        <v>78140565</v>
      </c>
      <c r="C37" s="484" t="n"/>
      <c r="D37" s="5" t="n">
        <v>46090</v>
      </c>
      <c r="E37" s="494" t="n"/>
      <c r="F37" s="10" t="n">
        <v>33</v>
      </c>
      <c r="G37" s="6" t="n">
        <v>2021</v>
      </c>
      <c r="H37" s="494" t="n"/>
      <c r="I37" s="494" t="inlineStr">
        <is>
          <t xml:space="preserve">Nissan </t>
        </is>
      </c>
      <c r="J37" s="494" t="n"/>
      <c r="K37" s="494" t="n"/>
      <c r="L37" s="494" t="n"/>
      <c r="M37" s="494" t="inlineStr">
        <is>
          <t>Versa SV</t>
        </is>
      </c>
      <c r="N37" s="494" t="inlineStr">
        <is>
          <t>Negro</t>
        </is>
      </c>
      <c r="O37" s="10" t="n"/>
      <c r="P37" s="494" t="n"/>
      <c r="Q37" s="494" t="n"/>
      <c r="R37" s="494" t="n"/>
      <c r="S37" s="124" t="n"/>
      <c r="T37" s="494" t="n"/>
      <c r="U37" s="10" t="n"/>
      <c r="V37" s="494" t="n"/>
      <c r="W37" s="124" t="n"/>
      <c r="X37" s="124" t="n"/>
      <c r="Y37" s="487" t="n"/>
      <c r="Z37" s="124" t="n"/>
      <c r="AA37" s="494" t="n"/>
      <c r="AB37" s="124" t="n"/>
      <c r="AC37" s="494" t="n"/>
      <c r="AD37" s="124" t="n"/>
      <c r="AE37" s="494" t="n"/>
      <c r="AF37" s="124" t="n"/>
      <c r="AG37" s="494" t="n"/>
      <c r="AH37" s="124" t="n"/>
      <c r="AI37" s="494" t="n"/>
      <c r="AJ37" s="124" t="n"/>
      <c r="AK37" s="124" t="n"/>
      <c r="AL37" s="124" t="n"/>
      <c r="AM37" s="124" t="n"/>
      <c r="AN37" s="124" t="n"/>
      <c r="AO37" s="494" t="n"/>
      <c r="AP37" s="9" t="n"/>
      <c r="AQ37" s="124" t="n"/>
      <c r="AR37" s="9" t="n"/>
      <c r="AS37" s="124" t="n"/>
      <c r="AT37" s="124" t="n"/>
      <c r="AU37" s="494" t="n"/>
      <c r="AV37" s="124" t="n"/>
      <c r="AW37" s="124" t="n"/>
      <c r="AX37" s="124" t="n"/>
      <c r="AY37" s="124" t="n"/>
      <c r="AZ37" s="124" t="n"/>
      <c r="BA37" s="488" t="n"/>
      <c r="BB37" s="499" t="n"/>
    </row>
    <row r="38" ht="15.6" customFormat="1" customHeight="1" s="120">
      <c r="A38" s="168" t="n">
        <v>34</v>
      </c>
      <c r="B38" s="131" t="n">
        <v>92667555</v>
      </c>
      <c r="C38" s="484" t="n"/>
      <c r="D38" s="5" t="n">
        <v>46098</v>
      </c>
      <c r="E38" s="494" t="n"/>
      <c r="F38" s="10" t="n">
        <v>34</v>
      </c>
      <c r="G38" s="6" t="n">
        <v>2019</v>
      </c>
      <c r="H38" s="494" t="n"/>
      <c r="I38" s="494" t="inlineStr">
        <is>
          <t xml:space="preserve">Hyundai </t>
        </is>
      </c>
      <c r="J38" s="494" t="n"/>
      <c r="K38" s="494" t="n"/>
      <c r="L38" s="494" t="n"/>
      <c r="M38" s="494" t="inlineStr">
        <is>
          <t>Elantra Sel</t>
        </is>
      </c>
      <c r="N38" s="494" t="inlineStr">
        <is>
          <t>Rojo</t>
        </is>
      </c>
      <c r="O38" s="10" t="n"/>
      <c r="P38" s="494" t="n"/>
      <c r="Q38" s="494" t="n"/>
      <c r="R38" s="494" t="n"/>
      <c r="S38" s="124" t="n"/>
      <c r="T38" s="494" t="n"/>
      <c r="U38" s="10" t="n"/>
      <c r="V38" s="494" t="n"/>
      <c r="W38" s="124" t="n"/>
      <c r="X38" s="124" t="n"/>
      <c r="Y38" s="487" t="n"/>
      <c r="Z38" s="124" t="n"/>
      <c r="AA38" s="494" t="n"/>
      <c r="AB38" s="124" t="n"/>
      <c r="AC38" s="494" t="n"/>
      <c r="AD38" s="124" t="n"/>
      <c r="AE38" s="494" t="n"/>
      <c r="AF38" s="124" t="n"/>
      <c r="AG38" s="494" t="n"/>
      <c r="AH38" s="124" t="n"/>
      <c r="AI38" s="494" t="n"/>
      <c r="AJ38" s="124" t="n"/>
      <c r="AK38" s="124" t="n"/>
      <c r="AL38" s="124" t="n"/>
      <c r="AM38" s="124" t="n"/>
      <c r="AN38" s="124" t="n"/>
      <c r="AO38" s="494" t="n"/>
      <c r="AP38" s="9" t="n"/>
      <c r="AQ38" s="124" t="n"/>
      <c r="AR38" s="9" t="n"/>
      <c r="AS38" s="124" t="n"/>
      <c r="AT38" s="124" t="n"/>
      <c r="AU38" s="494" t="n"/>
      <c r="AV38" s="124" t="n"/>
      <c r="AW38" s="124" t="n"/>
      <c r="AX38" s="124" t="n"/>
      <c r="AY38" s="124" t="n"/>
      <c r="AZ38" s="124" t="n"/>
      <c r="BA38" s="488" t="n"/>
      <c r="BB38" s="499" t="n"/>
    </row>
    <row r="39" ht="15.6" customFormat="1" customHeight="1" s="120">
      <c r="A39" s="168" t="n">
        <v>35</v>
      </c>
      <c r="B39" s="131" t="n">
        <v>77138085</v>
      </c>
      <c r="C39" s="484" t="n"/>
      <c r="D39" s="5" t="n">
        <v>46098</v>
      </c>
      <c r="E39" s="494" t="n"/>
      <c r="F39" s="10" t="n">
        <v>35</v>
      </c>
      <c r="G39" s="6" t="n">
        <v>2022</v>
      </c>
      <c r="H39" s="494" t="n"/>
      <c r="I39" s="494" t="inlineStr">
        <is>
          <t xml:space="preserve">Hyundai </t>
        </is>
      </c>
      <c r="J39" s="494" t="n"/>
      <c r="K39" s="494" t="n"/>
      <c r="L39" s="494" t="n"/>
      <c r="M39" s="494" t="inlineStr">
        <is>
          <t>Elantra Sel</t>
        </is>
      </c>
      <c r="N39" s="494" t="inlineStr">
        <is>
          <t xml:space="preserve">Gris </t>
        </is>
      </c>
      <c r="O39" s="10" t="n"/>
      <c r="P39" s="494" t="n"/>
      <c r="Q39" s="494" t="n"/>
      <c r="R39" s="494" t="n"/>
      <c r="S39" s="124" t="n"/>
      <c r="T39" s="494" t="n"/>
      <c r="U39" s="10" t="n"/>
      <c r="V39" s="494" t="n"/>
      <c r="W39" s="124" t="n"/>
      <c r="X39" s="124" t="n"/>
      <c r="Y39" s="487" t="n"/>
      <c r="Z39" s="124" t="n"/>
      <c r="AA39" s="494" t="n"/>
      <c r="AB39" s="124" t="n"/>
      <c r="AC39" s="494" t="n"/>
      <c r="AD39" s="124" t="n"/>
      <c r="AE39" s="494" t="n"/>
      <c r="AF39" s="124" t="n"/>
      <c r="AG39" s="494" t="n"/>
      <c r="AH39" s="124" t="n"/>
      <c r="AI39" s="494" t="n"/>
      <c r="AJ39" s="124" t="n"/>
      <c r="AK39" s="494" t="n"/>
      <c r="AL39" s="124" t="n"/>
      <c r="AM39" s="124" t="n"/>
      <c r="AN39" s="124" t="n"/>
      <c r="AO39" s="494" t="n"/>
      <c r="AP39" s="9" t="n"/>
      <c r="AQ39" s="124" t="n"/>
      <c r="AR39" s="9" t="n"/>
      <c r="AS39" s="124" t="n"/>
      <c r="AT39" s="124" t="n"/>
      <c r="AU39" s="494" t="n"/>
      <c r="AV39" s="124" t="n"/>
      <c r="AW39" s="124" t="n"/>
      <c r="AX39" s="124" t="n"/>
      <c r="AY39" s="124" t="n"/>
      <c r="AZ39" s="124" t="n"/>
      <c r="BA39" s="488" t="n"/>
      <c r="BB39" s="499" t="n"/>
    </row>
    <row r="40" ht="15.6" customFormat="1" customHeight="1" s="120">
      <c r="A40" s="166" t="n">
        <v>36</v>
      </c>
      <c r="B40" s="131" t="inlineStr">
        <is>
          <t>79773935</t>
        </is>
      </c>
      <c r="C40" s="484" t="n"/>
      <c r="D40" s="5" t="n">
        <v>46098</v>
      </c>
      <c r="E40" s="494" t="n"/>
      <c r="F40" s="10" t="n">
        <v>36</v>
      </c>
      <c r="G40" s="6" t="n">
        <v>2019</v>
      </c>
      <c r="H40" s="494" t="n"/>
      <c r="I40" s="494" t="inlineStr">
        <is>
          <t xml:space="preserve">Kia </t>
        </is>
      </c>
      <c r="J40" s="494" t="n"/>
      <c r="K40" s="494" t="n"/>
      <c r="L40" s="494" t="n"/>
      <c r="M40" s="494" t="inlineStr">
        <is>
          <t>Soul LX</t>
        </is>
      </c>
      <c r="N40" s="494" t="inlineStr">
        <is>
          <t>Blanco</t>
        </is>
      </c>
      <c r="O40" s="10" t="n"/>
      <c r="P40" s="494" t="n"/>
      <c r="Q40" s="494" t="n"/>
      <c r="R40" s="494" t="n"/>
      <c r="S40" s="124" t="n"/>
      <c r="T40" s="494" t="n"/>
      <c r="U40" s="10" t="n"/>
      <c r="V40" s="494" t="n"/>
      <c r="W40" s="124" t="n"/>
      <c r="X40" s="124" t="n"/>
      <c r="Y40" s="487" t="n"/>
      <c r="Z40" s="124" t="n"/>
      <c r="AA40" s="494" t="n"/>
      <c r="AB40" s="124" t="n"/>
      <c r="AC40" s="494" t="n"/>
      <c r="AD40" s="124" t="n"/>
      <c r="AE40" s="494" t="n"/>
      <c r="AF40" s="124" t="n"/>
      <c r="AG40" s="494" t="n"/>
      <c r="AH40" s="124" t="n"/>
      <c r="AI40" s="494" t="n"/>
      <c r="AJ40" s="124" t="n"/>
      <c r="AK40" s="124" t="n"/>
      <c r="AL40" s="124" t="n"/>
      <c r="AM40" s="124" t="n"/>
      <c r="AN40" s="124" t="n"/>
      <c r="AO40" s="494" t="n"/>
      <c r="AP40" s="9" t="n"/>
      <c r="AQ40" s="124" t="n"/>
      <c r="AR40" s="9" t="n"/>
      <c r="AS40" s="124" t="n"/>
      <c r="AT40" s="124" t="n"/>
      <c r="AU40" s="494" t="n"/>
      <c r="AV40" s="124" t="n"/>
      <c r="AW40" s="124" t="n"/>
      <c r="AX40" s="124" t="n"/>
      <c r="AY40" s="124" t="n"/>
      <c r="AZ40" s="124" t="n"/>
      <c r="BA40" s="488" t="n"/>
      <c r="BB40" s="499" t="n"/>
    </row>
    <row r="41" ht="15.6" customFormat="1" customHeight="1" s="120">
      <c r="A41" s="168" t="n">
        <v>37</v>
      </c>
      <c r="B41" s="132" t="n">
        <v>96800565</v>
      </c>
      <c r="C41" s="484" t="n"/>
      <c r="D41" s="5" t="n">
        <v>46097</v>
      </c>
      <c r="E41" s="494" t="n"/>
      <c r="F41" s="10" t="n">
        <v>37</v>
      </c>
      <c r="G41" s="6" t="n">
        <v>2020</v>
      </c>
      <c r="H41" s="494" t="n"/>
      <c r="I41" s="494" t="inlineStr">
        <is>
          <t>Nissan</t>
        </is>
      </c>
      <c r="J41" s="494" t="n"/>
      <c r="K41" s="494" t="n"/>
      <c r="L41" s="494" t="n"/>
      <c r="M41" s="494" t="inlineStr">
        <is>
          <t>Sentra SV</t>
        </is>
      </c>
      <c r="N41" s="494" t="inlineStr">
        <is>
          <t>Blanco</t>
        </is>
      </c>
      <c r="O41" s="10" t="n"/>
      <c r="P41" s="494" t="n"/>
      <c r="Q41" s="494" t="n"/>
      <c r="R41" s="494" t="n"/>
      <c r="S41" s="124" t="n"/>
      <c r="T41" s="494" t="n"/>
      <c r="U41" s="124" t="n"/>
      <c r="V41" s="494" t="n"/>
      <c r="W41" s="124" t="n"/>
      <c r="X41" s="124" t="n"/>
      <c r="Y41" s="487" t="n"/>
      <c r="Z41" s="124" t="n"/>
      <c r="AA41" s="494" t="n"/>
      <c r="AB41" s="124" t="n"/>
      <c r="AC41" s="494" t="n"/>
      <c r="AD41" s="124" t="n"/>
      <c r="AE41" s="494" t="n"/>
      <c r="AF41" s="124" t="n"/>
      <c r="AG41" s="494" t="n"/>
      <c r="AH41" s="124" t="n"/>
      <c r="AI41" s="494" t="n"/>
      <c r="AJ41" s="124" t="n"/>
      <c r="AK41" s="124" t="n"/>
      <c r="AL41" s="124" t="n"/>
      <c r="AM41" s="124" t="n"/>
      <c r="AN41" s="124" t="n"/>
      <c r="AO41" s="494" t="n"/>
      <c r="AP41" s="9" t="n"/>
      <c r="AQ41" s="124" t="n"/>
      <c r="AR41" s="9" t="n"/>
      <c r="AS41" s="124" t="n"/>
      <c r="AT41" s="124" t="n"/>
      <c r="AU41" s="124" t="n"/>
      <c r="AV41" s="124" t="n"/>
      <c r="AW41" s="124" t="n"/>
      <c r="AX41" s="124" t="n"/>
      <c r="AY41" s="124" t="n"/>
      <c r="AZ41" s="124" t="n"/>
      <c r="BA41" s="488" t="n"/>
      <c r="BB41" s="499" t="n"/>
    </row>
    <row r="42" ht="16.2" customFormat="1" customHeight="1" s="120" thickBot="1">
      <c r="A42" s="168" t="n">
        <v>38</v>
      </c>
      <c r="B42" s="132" t="n">
        <v>79169315</v>
      </c>
      <c r="C42" s="484" t="n"/>
      <c r="D42" s="5" t="n">
        <v>46097</v>
      </c>
      <c r="E42" s="494" t="n"/>
      <c r="F42" s="10" t="n">
        <v>38</v>
      </c>
      <c r="G42" s="6" t="n">
        <v>2020</v>
      </c>
      <c r="H42" s="494" t="n"/>
      <c r="I42" s="494" t="inlineStr">
        <is>
          <t>Kia</t>
        </is>
      </c>
      <c r="J42" s="494" t="n"/>
      <c r="K42" s="494" t="n"/>
      <c r="L42" s="494" t="n"/>
      <c r="M42" s="494" t="inlineStr">
        <is>
          <t>Sorenso XL</t>
        </is>
      </c>
      <c r="N42" s="494" t="inlineStr">
        <is>
          <t>Silver</t>
        </is>
      </c>
      <c r="O42" s="10" t="n"/>
      <c r="P42" s="494" t="n"/>
      <c r="Q42" s="494" t="n"/>
      <c r="R42" s="494" t="n"/>
      <c r="S42" s="124" t="n"/>
      <c r="T42" s="494" t="n"/>
      <c r="U42" s="124" t="n"/>
      <c r="V42" s="494" t="n"/>
      <c r="W42" s="124" t="n"/>
      <c r="X42" s="124" t="n"/>
      <c r="Y42" s="487" t="n"/>
      <c r="Z42" s="124" t="n"/>
      <c r="AA42" s="494" t="n"/>
      <c r="AB42" s="124" t="n"/>
      <c r="AC42" s="494" t="n"/>
      <c r="AD42" s="124" t="n"/>
      <c r="AE42" s="494" t="n"/>
      <c r="AF42" s="124" t="n"/>
      <c r="AG42" s="494" t="n"/>
      <c r="AH42" s="124" t="n"/>
      <c r="AI42" s="494" t="n"/>
      <c r="AJ42" s="124" t="n"/>
      <c r="AK42" s="124" t="n"/>
      <c r="AL42" s="124" t="n"/>
      <c r="AM42" s="124" t="n"/>
      <c r="AN42" s="124" t="n"/>
      <c r="AO42" s="494" t="n"/>
      <c r="AP42" s="9" t="n"/>
      <c r="AQ42" s="124" t="n"/>
      <c r="AR42" s="9" t="n"/>
      <c r="AS42" s="124" t="n"/>
      <c r="AT42" s="124" t="n"/>
      <c r="AU42" s="124" t="n"/>
      <c r="AV42" s="124" t="n"/>
      <c r="AW42" s="124" t="n"/>
      <c r="AX42" s="124" t="n"/>
      <c r="AY42" s="124" t="n"/>
      <c r="AZ42" s="124" t="n"/>
      <c r="BA42" s="488" t="n"/>
      <c r="BB42" s="499" t="n"/>
    </row>
    <row r="43" ht="16.2" customFormat="1" customHeight="1" s="159" thickBot="1">
      <c r="A43" s="167" t="n">
        <v>39</v>
      </c>
      <c r="B43" s="122" t="n">
        <v>77514225</v>
      </c>
      <c r="C43" s="484" t="n"/>
      <c r="D43" s="150" t="n">
        <v>46097</v>
      </c>
      <c r="E43" s="501" t="n"/>
      <c r="F43" s="152" t="n">
        <v>39</v>
      </c>
      <c r="G43" s="153" t="n">
        <v>2019</v>
      </c>
      <c r="H43" s="501" t="n"/>
      <c r="I43" s="501" t="inlineStr">
        <is>
          <t xml:space="preserve">Hyundai </t>
        </is>
      </c>
      <c r="J43" s="501" t="n"/>
      <c r="K43" s="501" t="n"/>
      <c r="L43" s="501" t="n"/>
      <c r="M43" s="501" t="inlineStr">
        <is>
          <t>Accent</t>
        </is>
      </c>
      <c r="N43" s="501" t="inlineStr">
        <is>
          <t>Negro</t>
        </is>
      </c>
      <c r="O43" s="152" t="n"/>
      <c r="P43" s="501" t="n"/>
      <c r="Q43" s="501" t="n"/>
      <c r="R43" s="501" t="n"/>
      <c r="S43" s="154" t="n"/>
      <c r="T43" s="154" t="n"/>
      <c r="U43" s="154" t="n"/>
      <c r="V43" s="501" t="n"/>
      <c r="W43" s="154" t="n"/>
      <c r="X43" s="154" t="n"/>
      <c r="Y43" s="502" t="n"/>
      <c r="Z43" s="154" t="n"/>
      <c r="AA43" s="501" t="n"/>
      <c r="AB43" s="154" t="n"/>
      <c r="AC43" s="501" t="n"/>
      <c r="AD43" s="154" t="n"/>
      <c r="AE43" s="501" t="n"/>
      <c r="AF43" s="154" t="n"/>
      <c r="AG43" s="501" t="n"/>
      <c r="AH43" s="154" t="n"/>
      <c r="AI43" s="501" t="n"/>
      <c r="AJ43" s="154" t="n"/>
      <c r="AK43" s="154" t="n"/>
      <c r="AL43" s="154" t="n"/>
      <c r="AM43" s="154" t="n"/>
      <c r="AN43" s="154" t="n"/>
      <c r="AO43" s="501" t="n"/>
      <c r="AP43" s="156" t="n"/>
      <c r="AQ43" s="154" t="n"/>
      <c r="AR43" s="156" t="n"/>
      <c r="AS43" s="154" t="n"/>
      <c r="AT43" s="154" t="n"/>
      <c r="AU43" s="154" t="n"/>
      <c r="AV43" s="154" t="n"/>
      <c r="AW43" s="154" t="n"/>
      <c r="AX43" s="154" t="n"/>
      <c r="AY43" s="154" t="n"/>
      <c r="AZ43" s="154" t="n"/>
      <c r="BA43" s="503" t="n"/>
      <c r="BB43" s="504" t="n"/>
    </row>
    <row r="44" ht="15.6" customFormat="1" customHeight="1" s="120">
      <c r="A44" s="168" t="n">
        <v>40</v>
      </c>
      <c r="B44" s="133" t="n">
        <v>76048175</v>
      </c>
      <c r="C44" s="484" t="n"/>
      <c r="D44" s="5" t="n">
        <v>46119</v>
      </c>
      <c r="E44" s="494" t="n"/>
      <c r="F44" s="10" t="n">
        <v>40</v>
      </c>
      <c r="G44" s="6" t="n">
        <v>2025</v>
      </c>
      <c r="H44" s="494" t="n"/>
      <c r="I44" s="494" t="inlineStr">
        <is>
          <t>Nissan</t>
        </is>
      </c>
      <c r="J44" s="494" t="n"/>
      <c r="K44" s="494" t="n"/>
      <c r="L44" s="494" t="n"/>
      <c r="M44" s="494" t="inlineStr">
        <is>
          <t>Versa SV</t>
        </is>
      </c>
      <c r="N44" s="494" t="inlineStr">
        <is>
          <t>Blanco</t>
        </is>
      </c>
      <c r="O44" s="10" t="n"/>
      <c r="P44" s="494" t="n"/>
      <c r="Q44" s="494" t="n"/>
      <c r="R44" s="494" t="n"/>
      <c r="S44" s="124" t="n"/>
      <c r="T44" s="124" t="n"/>
      <c r="U44" s="124" t="n"/>
      <c r="V44" s="494" t="n"/>
      <c r="W44" s="124" t="n"/>
      <c r="X44" s="124" t="n"/>
      <c r="Y44" s="487" t="n"/>
      <c r="Z44" s="124" t="n"/>
      <c r="AA44" s="494" t="n"/>
      <c r="AB44" s="124" t="n"/>
      <c r="AC44" s="494" t="n"/>
      <c r="AD44" s="124" t="n"/>
      <c r="AE44" s="494" t="n"/>
      <c r="AF44" s="124" t="n"/>
      <c r="AG44" s="494" t="n"/>
      <c r="AH44" s="124" t="n"/>
      <c r="AI44" s="494" t="n"/>
      <c r="AJ44" s="124" t="n"/>
      <c r="AK44" s="124" t="n"/>
      <c r="AL44" s="124" t="n"/>
      <c r="AM44" s="124" t="n"/>
      <c r="AN44" s="124" t="n"/>
      <c r="AO44" s="494" t="n"/>
      <c r="AP44" s="9" t="n"/>
      <c r="AQ44" s="124" t="n"/>
      <c r="AR44" s="9" t="n"/>
      <c r="AS44" s="124" t="n"/>
      <c r="AT44" s="124" t="n"/>
      <c r="AU44" s="124" t="n"/>
      <c r="AV44" s="124" t="n"/>
      <c r="AW44" s="124" t="n"/>
      <c r="AX44" s="124" t="n"/>
      <c r="AY44" s="124" t="n"/>
      <c r="AZ44" s="124" t="n"/>
      <c r="BA44" s="488" t="n"/>
      <c r="BB44" s="499" t="n"/>
    </row>
    <row r="45" ht="15.6" customFormat="1" customHeight="1" s="120">
      <c r="A45" s="168" t="n">
        <v>41</v>
      </c>
      <c r="B45" s="133" t="n">
        <v>79966335</v>
      </c>
      <c r="C45" s="484" t="n"/>
      <c r="D45" s="5" t="n">
        <v>46119</v>
      </c>
      <c r="E45" s="494" t="n"/>
      <c r="F45" s="10" t="n">
        <v>41</v>
      </c>
      <c r="G45" s="6" t="n">
        <v>2020</v>
      </c>
      <c r="H45" s="494" t="n"/>
      <c r="I45" s="494" t="inlineStr">
        <is>
          <t xml:space="preserve">Chevrolet </t>
        </is>
      </c>
      <c r="J45" s="494" t="n"/>
      <c r="K45" s="494" t="n"/>
      <c r="L45" s="494" t="n"/>
      <c r="M45" s="494" t="inlineStr">
        <is>
          <t>Spark</t>
        </is>
      </c>
      <c r="N45" s="494" t="inlineStr">
        <is>
          <t>Blanco</t>
        </is>
      </c>
      <c r="O45" s="10" t="n"/>
      <c r="P45" s="494" t="n"/>
      <c r="Q45" s="494" t="n"/>
      <c r="R45" s="494" t="n"/>
      <c r="S45" s="124" t="n"/>
      <c r="T45" s="124" t="n"/>
      <c r="U45" s="124" t="n"/>
      <c r="V45" s="494" t="n"/>
      <c r="W45" s="124" t="n"/>
      <c r="X45" s="124" t="n"/>
      <c r="Y45" s="487" t="n"/>
      <c r="Z45" s="124" t="n"/>
      <c r="AA45" s="494" t="n"/>
      <c r="AB45" s="124" t="n"/>
      <c r="AC45" s="494" t="n"/>
      <c r="AD45" s="124" t="n"/>
      <c r="AE45" s="124" t="n"/>
      <c r="AF45" s="124" t="n"/>
      <c r="AG45" s="124" t="n"/>
      <c r="AH45" s="124" t="n"/>
      <c r="AI45" s="494" t="n"/>
      <c r="AJ45" s="124" t="n"/>
      <c r="AK45" s="124" t="n"/>
      <c r="AL45" s="124" t="n"/>
      <c r="AM45" s="124" t="n"/>
      <c r="AN45" s="124" t="n"/>
      <c r="AO45" s="494" t="n"/>
      <c r="AP45" s="9" t="n"/>
      <c r="AQ45" s="124" t="n"/>
      <c r="AR45" s="9" t="n"/>
      <c r="AS45" s="124" t="n"/>
      <c r="AT45" s="124" t="n"/>
      <c r="AU45" s="124" t="n"/>
      <c r="AV45" s="124" t="n"/>
      <c r="AW45" s="124" t="n"/>
      <c r="AX45" s="124" t="n"/>
      <c r="AY45" s="124" t="n"/>
      <c r="AZ45" s="124" t="n"/>
      <c r="BA45" s="488" t="n"/>
      <c r="BB45" s="499" t="n"/>
    </row>
    <row r="46" ht="15.6" customHeight="1">
      <c r="A46" s="168" t="n">
        <v>42</v>
      </c>
      <c r="B46" s="84" t="n">
        <v>79754765</v>
      </c>
      <c r="C46" s="484" t="n"/>
      <c r="D46" s="44" t="n">
        <v>46121</v>
      </c>
      <c r="E46" s="505" t="n"/>
      <c r="F46" s="46" t="n">
        <v>42</v>
      </c>
      <c r="G46" s="45" t="n">
        <v>2019</v>
      </c>
      <c r="H46" s="505" t="n"/>
      <c r="I46" s="505" t="inlineStr">
        <is>
          <t xml:space="preserve">Mitsubishi </t>
        </is>
      </c>
      <c r="J46" s="505" t="n"/>
      <c r="K46" s="505" t="n"/>
      <c r="L46" s="505" t="n"/>
      <c r="M46" s="505" t="inlineStr">
        <is>
          <t>Mirage G4</t>
        </is>
      </c>
      <c r="N46" s="505" t="inlineStr">
        <is>
          <t>Azul</t>
        </is>
      </c>
      <c r="O46" s="46" t="n"/>
      <c r="P46" s="505" t="n"/>
      <c r="Q46" s="505" t="n"/>
      <c r="R46" s="505" t="n"/>
      <c r="S46" s="4" t="n"/>
      <c r="T46" s="4" t="n"/>
      <c r="U46" s="4" t="n"/>
      <c r="V46" s="505" t="n"/>
      <c r="W46" s="4" t="n"/>
      <c r="X46" s="4" t="n"/>
      <c r="Y46" s="476" t="n"/>
      <c r="Z46" s="4" t="n"/>
      <c r="AA46" s="4" t="n"/>
      <c r="AB46" s="4" t="n"/>
      <c r="AC46" s="505" t="n"/>
      <c r="AD46" s="4" t="n"/>
      <c r="AE46" s="4" t="n"/>
      <c r="AF46" s="4" t="n"/>
      <c r="AG46" s="4" t="n"/>
      <c r="AH46" s="4" t="n"/>
      <c r="AI46" s="505" t="n"/>
      <c r="AJ46" s="4" t="n"/>
      <c r="AK46" s="4" t="n"/>
      <c r="AL46" s="4" t="n"/>
      <c r="AM46" s="4" t="n"/>
      <c r="AN46" s="4" t="n"/>
      <c r="AO46" s="505" t="n"/>
      <c r="AP46" s="49" t="n"/>
      <c r="AQ46" s="4" t="n"/>
      <c r="AR46" s="49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506" t="n"/>
      <c r="BB46" s="507" t="n"/>
    </row>
    <row r="47" ht="15.6" customFormat="1" customHeight="1" s="149">
      <c r="A47" s="168" t="n">
        <v>43</v>
      </c>
      <c r="B47" s="139" t="inlineStr">
        <is>
          <t>79257455</t>
        </is>
      </c>
      <c r="C47" s="484" t="n"/>
      <c r="D47" s="140" t="n">
        <v>46121</v>
      </c>
      <c r="E47" s="508" t="n"/>
      <c r="F47" s="142" t="n">
        <v>43</v>
      </c>
      <c r="G47" s="143" t="n">
        <v>2019</v>
      </c>
      <c r="H47" s="508" t="n"/>
      <c r="I47" s="508" t="inlineStr">
        <is>
          <t>Nissan</t>
        </is>
      </c>
      <c r="J47" s="508" t="n"/>
      <c r="K47" s="508" t="n"/>
      <c r="L47" s="508" t="n"/>
      <c r="M47" s="508" t="inlineStr">
        <is>
          <t>Sentra S</t>
        </is>
      </c>
      <c r="N47" s="508" t="inlineStr">
        <is>
          <t>Negro</t>
        </is>
      </c>
      <c r="O47" s="142" t="n"/>
      <c r="P47" s="508" t="n"/>
      <c r="Q47" s="508" t="n"/>
      <c r="R47" s="508" t="n"/>
      <c r="S47" s="144" t="n"/>
      <c r="T47" s="144" t="n"/>
      <c r="U47" s="144" t="n"/>
      <c r="V47" s="508" t="n"/>
      <c r="W47" s="144" t="n"/>
      <c r="X47" s="144" t="n"/>
      <c r="Y47" s="509" t="n"/>
      <c r="Z47" s="144" t="n"/>
      <c r="AA47" s="508" t="n"/>
      <c r="AB47" s="144" t="n"/>
      <c r="AC47" s="508" t="n"/>
      <c r="AD47" s="144" t="n"/>
      <c r="AE47" s="144" t="n"/>
      <c r="AF47" s="144" t="n"/>
      <c r="AG47" s="144" t="n"/>
      <c r="AH47" s="144" t="n"/>
      <c r="AI47" s="144" t="n"/>
      <c r="AJ47" s="144" t="n"/>
      <c r="AK47" s="144" t="n"/>
      <c r="AL47" s="144" t="n"/>
      <c r="AM47" s="144" t="n"/>
      <c r="AN47" s="144" t="n"/>
      <c r="AO47" s="508" t="n"/>
      <c r="AP47" s="146" t="n"/>
      <c r="AQ47" s="144" t="n"/>
      <c r="AR47" s="146" t="n"/>
      <c r="AS47" s="144" t="n"/>
      <c r="AT47" s="144" t="n"/>
      <c r="AU47" s="144" t="n"/>
      <c r="AV47" s="144" t="n"/>
      <c r="AW47" s="144" t="n"/>
      <c r="AX47" s="144" t="n"/>
      <c r="AY47" s="144" t="n"/>
      <c r="AZ47" s="144" t="n"/>
      <c r="BA47" s="510" t="n"/>
      <c r="BB47" s="511" t="n"/>
    </row>
    <row r="48" ht="15.6" customHeight="1">
      <c r="A48" s="168" t="n">
        <v>44</v>
      </c>
      <c r="B48" s="84" t="inlineStr">
        <is>
          <t>45446786</t>
        </is>
      </c>
      <c r="C48" s="484" t="n"/>
      <c r="D48" s="44" t="n">
        <v>46121</v>
      </c>
      <c r="E48" s="505" t="n"/>
      <c r="F48" s="46" t="n">
        <v>44</v>
      </c>
      <c r="G48" s="45" t="n">
        <v>2019</v>
      </c>
      <c r="H48" s="505" t="n"/>
      <c r="I48" s="505" t="inlineStr">
        <is>
          <t xml:space="preserve">Kia </t>
        </is>
      </c>
      <c r="J48" s="505" t="n"/>
      <c r="K48" s="505" t="n"/>
      <c r="L48" s="505" t="n"/>
      <c r="M48" s="505" t="inlineStr">
        <is>
          <t>Forte LXS</t>
        </is>
      </c>
      <c r="N48" s="505" t="inlineStr">
        <is>
          <t xml:space="preserve">Gris </t>
        </is>
      </c>
      <c r="O48" s="46" t="n"/>
      <c r="P48" s="505" t="n"/>
      <c r="Q48" s="505" t="n"/>
      <c r="R48" s="505" t="n"/>
      <c r="S48" s="4" t="n"/>
      <c r="T48" s="4" t="n"/>
      <c r="U48" s="4" t="n"/>
      <c r="V48" s="505" t="n"/>
      <c r="W48" s="4" t="n"/>
      <c r="X48" s="4" t="n"/>
      <c r="Y48" s="476" t="n"/>
      <c r="Z48" s="4" t="n"/>
      <c r="AA48" s="505" t="n"/>
      <c r="AB48" s="4" t="n"/>
      <c r="AC48" s="505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505" t="n"/>
      <c r="AP48" s="49" t="n"/>
      <c r="AQ48" s="4" t="n"/>
      <c r="AR48" s="49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506" t="n"/>
      <c r="BB48" s="507" t="n"/>
    </row>
    <row r="49" ht="15.6" customHeight="1">
      <c r="A49" s="168" t="n">
        <v>45</v>
      </c>
      <c r="B49" s="84" t="inlineStr">
        <is>
          <t>79469085</t>
        </is>
      </c>
      <c r="C49" s="484" t="n"/>
      <c r="D49" s="44" t="n">
        <v>46121</v>
      </c>
      <c r="E49" s="505" t="n"/>
      <c r="F49" s="46" t="n">
        <v>45</v>
      </c>
      <c r="G49" s="45" t="n">
        <v>2019</v>
      </c>
      <c r="H49" s="505" t="n"/>
      <c r="I49" s="505" t="inlineStr">
        <is>
          <t>Kia</t>
        </is>
      </c>
      <c r="J49" s="505" t="n"/>
      <c r="K49" s="505" t="n"/>
      <c r="L49" s="505" t="n"/>
      <c r="M49" s="505" t="inlineStr">
        <is>
          <t>Forte LXS</t>
        </is>
      </c>
      <c r="N49" s="505" t="inlineStr">
        <is>
          <t xml:space="preserve">Gris </t>
        </is>
      </c>
      <c r="O49" s="46" t="n"/>
      <c r="P49" s="505" t="n"/>
      <c r="Q49" s="505" t="n"/>
      <c r="R49" s="505" t="n"/>
      <c r="S49" s="4" t="n"/>
      <c r="T49" s="4" t="n"/>
      <c r="U49" s="4" t="n"/>
      <c r="V49" s="505" t="n"/>
      <c r="W49" s="4" t="n"/>
      <c r="X49" s="4" t="n"/>
      <c r="Y49" s="476" t="n"/>
      <c r="Z49" s="4" t="n"/>
      <c r="AA49" s="505" t="n"/>
      <c r="AB49" s="4" t="n"/>
      <c r="AC49" s="505" t="n"/>
      <c r="AD49" s="4" t="n"/>
      <c r="AE49" s="4" t="n"/>
      <c r="AF49" s="4" t="n"/>
      <c r="AG49" s="4" t="n"/>
      <c r="AH49" s="4" t="n"/>
      <c r="AI49" s="4" t="n"/>
      <c r="AJ49" s="4" t="n"/>
      <c r="AK49" s="505" t="n"/>
      <c r="AL49" s="4" t="n"/>
      <c r="AM49" s="505" t="n"/>
      <c r="AN49" s="4" t="n"/>
      <c r="AO49" s="505" t="n"/>
      <c r="AP49" s="49" t="n"/>
      <c r="AQ49" s="4" t="n"/>
      <c r="AR49" s="49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506" t="n"/>
      <c r="BB49" s="507" t="n"/>
    </row>
    <row r="50" ht="15.6" customHeight="1">
      <c r="A50" s="168" t="n">
        <v>46</v>
      </c>
      <c r="B50" s="89" t="inlineStr">
        <is>
          <t>72280635</t>
        </is>
      </c>
      <c r="C50" s="484" t="n"/>
      <c r="D50" s="44" t="n">
        <v>46122</v>
      </c>
      <c r="E50" s="505" t="n"/>
      <c r="F50" s="46" t="n">
        <v>46</v>
      </c>
      <c r="G50" s="45" t="n">
        <v>2019</v>
      </c>
      <c r="H50" s="505" t="n"/>
      <c r="I50" s="505" t="inlineStr">
        <is>
          <t xml:space="preserve">Hyudai </t>
        </is>
      </c>
      <c r="J50" s="505" t="n"/>
      <c r="K50" s="505" t="n"/>
      <c r="L50" s="505" t="n"/>
      <c r="M50" s="505" t="inlineStr">
        <is>
          <t>Elantra Sel</t>
        </is>
      </c>
      <c r="N50" s="505" t="inlineStr">
        <is>
          <t>Blanco</t>
        </is>
      </c>
      <c r="O50" s="46" t="n"/>
      <c r="P50" s="505" t="n"/>
      <c r="Q50" s="505" t="n"/>
      <c r="R50" s="505" t="n"/>
      <c r="S50" s="4" t="n"/>
      <c r="T50" s="4" t="n"/>
      <c r="U50" s="4" t="n"/>
      <c r="V50" s="505" t="n"/>
      <c r="W50" s="4" t="n"/>
      <c r="X50" s="4" t="n"/>
      <c r="Y50" s="476" t="n"/>
      <c r="Z50" s="4" t="n"/>
      <c r="AA50" s="505" t="n"/>
      <c r="AB50" s="4" t="n"/>
      <c r="AC50" s="505" t="n"/>
      <c r="AD50" s="4" t="n"/>
      <c r="AE50" s="4" t="n"/>
      <c r="AF50" s="4" t="n"/>
      <c r="AG50" s="505" t="n"/>
      <c r="AH50" s="4" t="n"/>
      <c r="AI50" s="4" t="n"/>
      <c r="AJ50" s="4" t="n"/>
      <c r="AK50" s="505" t="n"/>
      <c r="AL50" s="4" t="n"/>
      <c r="AM50" s="505" t="n"/>
      <c r="AN50" s="4" t="n"/>
      <c r="AO50" s="505" t="n"/>
      <c r="AP50" s="49" t="n"/>
      <c r="AQ50" s="4" t="n"/>
      <c r="AR50" s="49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506" t="n"/>
      <c r="BB50" s="507" t="n"/>
    </row>
    <row r="51" ht="15.6" customHeight="1">
      <c r="A51" s="168" t="n">
        <v>47</v>
      </c>
      <c r="B51" s="89" t="inlineStr">
        <is>
          <t>48641716</t>
        </is>
      </c>
      <c r="C51" s="484" t="n"/>
      <c r="D51" s="44" t="n">
        <v>46122</v>
      </c>
      <c r="E51" s="505" t="n"/>
      <c r="F51" s="46" t="n">
        <v>47</v>
      </c>
      <c r="G51" s="45" t="n">
        <v>2019</v>
      </c>
      <c r="H51" s="505" t="n"/>
      <c r="I51" s="505" t="inlineStr">
        <is>
          <t xml:space="preserve">Kia </t>
        </is>
      </c>
      <c r="J51" s="505" t="n"/>
      <c r="K51" s="505" t="n"/>
      <c r="L51" s="505" t="n"/>
      <c r="M51" s="505" t="inlineStr">
        <is>
          <t>Forte LXS</t>
        </is>
      </c>
      <c r="N51" s="505" t="inlineStr">
        <is>
          <t xml:space="preserve">Gris </t>
        </is>
      </c>
      <c r="O51" s="46" t="n"/>
      <c r="P51" s="505" t="n"/>
      <c r="Q51" s="505" t="n"/>
      <c r="R51" s="505" t="n"/>
      <c r="S51" s="4" t="n"/>
      <c r="T51" s="4" t="n"/>
      <c r="U51" s="4" t="n"/>
      <c r="V51" s="505" t="n"/>
      <c r="W51" s="4" t="n"/>
      <c r="X51" s="4" t="n"/>
      <c r="Y51" s="476" t="n"/>
      <c r="Z51" s="4" t="n"/>
      <c r="AA51" s="505" t="n"/>
      <c r="AB51" s="4" t="n"/>
      <c r="AC51" s="505" t="n"/>
      <c r="AD51" s="4" t="n"/>
      <c r="AE51" s="4" t="n"/>
      <c r="AF51" s="4" t="n"/>
      <c r="AG51" s="505" t="n"/>
      <c r="AH51" s="4" t="n"/>
      <c r="AI51" s="4" t="n"/>
      <c r="AJ51" s="4" t="n"/>
      <c r="AK51" s="505" t="n"/>
      <c r="AL51" s="4" t="n"/>
      <c r="AM51" s="505" t="n"/>
      <c r="AN51" s="4" t="n"/>
      <c r="AO51" s="505" t="n"/>
      <c r="AP51" s="49" t="n"/>
      <c r="AQ51" s="4" t="n"/>
      <c r="AR51" s="49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506" t="n"/>
      <c r="BB51" s="507" t="n"/>
    </row>
    <row r="52" ht="15.6" customHeight="1">
      <c r="A52" s="168" t="n">
        <v>48</v>
      </c>
      <c r="B52" s="89" t="inlineStr">
        <is>
          <t>47700856</t>
        </is>
      </c>
      <c r="C52" s="484" t="n"/>
      <c r="D52" s="44" t="n">
        <v>46122</v>
      </c>
      <c r="E52" s="505" t="n"/>
      <c r="F52" s="46" t="n">
        <v>48</v>
      </c>
      <c r="G52" s="45" t="n">
        <v>2019</v>
      </c>
      <c r="H52" s="505" t="n"/>
      <c r="I52" s="505" t="inlineStr">
        <is>
          <t>Nissan</t>
        </is>
      </c>
      <c r="J52" s="505" t="n"/>
      <c r="K52" s="505" t="n"/>
      <c r="L52" s="505" t="n"/>
      <c r="M52" s="505" t="inlineStr">
        <is>
          <t>Sentra S</t>
        </is>
      </c>
      <c r="N52" s="505" t="inlineStr">
        <is>
          <t>Negro</t>
        </is>
      </c>
      <c r="O52" s="46" t="n"/>
      <c r="P52" s="505" t="n"/>
      <c r="Q52" s="505" t="n"/>
      <c r="R52" s="505" t="n"/>
      <c r="S52" s="4" t="n"/>
      <c r="T52" s="4" t="n"/>
      <c r="U52" s="4" t="n"/>
      <c r="V52" s="505" t="n"/>
      <c r="W52" s="4" t="n"/>
      <c r="X52" s="4" t="n"/>
      <c r="Y52" s="476" t="n"/>
      <c r="Z52" s="4" t="n"/>
      <c r="AA52" s="505" t="n"/>
      <c r="AB52" s="4" t="n"/>
      <c r="AC52" s="505" t="n"/>
      <c r="AD52" s="4" t="n"/>
      <c r="AE52" s="4" t="n"/>
      <c r="AF52" s="4" t="n"/>
      <c r="AG52" s="505" t="n"/>
      <c r="AH52" s="4" t="n"/>
      <c r="AI52" s="505" t="n"/>
      <c r="AJ52" s="4" t="n"/>
      <c r="AK52" s="505" t="n"/>
      <c r="AL52" s="4" t="n"/>
      <c r="AM52" s="505" t="n"/>
      <c r="AN52" s="4" t="n"/>
      <c r="AO52" s="505" t="n"/>
      <c r="AP52" s="49" t="n"/>
      <c r="AQ52" s="4" t="n"/>
      <c r="AR52" s="49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506" t="n"/>
      <c r="BB52" s="507" t="n"/>
    </row>
    <row r="53" ht="15.6" customHeight="1">
      <c r="A53" s="168" t="n">
        <v>49</v>
      </c>
      <c r="B53" s="65" t="inlineStr">
        <is>
          <t>75036305</t>
        </is>
      </c>
      <c r="C53" s="484" t="n"/>
      <c r="D53" s="44" t="n">
        <v>46125</v>
      </c>
      <c r="E53" s="505" t="n"/>
      <c r="F53" s="46" t="n">
        <v>49</v>
      </c>
      <c r="G53" s="45" t="n">
        <v>2020</v>
      </c>
      <c r="H53" s="505" t="n"/>
      <c r="I53" s="505" t="inlineStr">
        <is>
          <t>Ford</t>
        </is>
      </c>
      <c r="J53" s="505" t="n"/>
      <c r="K53" s="505" t="n"/>
      <c r="L53" s="505" t="n"/>
      <c r="M53" s="505" t="inlineStr">
        <is>
          <t>Escape</t>
        </is>
      </c>
      <c r="N53" s="505" t="inlineStr">
        <is>
          <t>Rojo</t>
        </is>
      </c>
      <c r="O53" s="46" t="n"/>
      <c r="P53" s="505" t="n"/>
      <c r="Q53" s="505" t="n"/>
      <c r="R53" s="505" t="n"/>
      <c r="S53" s="4" t="n"/>
      <c r="T53" s="4" t="n"/>
      <c r="U53" s="4" t="n"/>
      <c r="V53" s="505" t="n"/>
      <c r="W53" s="4" t="n"/>
      <c r="X53" s="4" t="n"/>
      <c r="Y53" s="476" t="n"/>
      <c r="Z53" s="4" t="n"/>
      <c r="AA53" s="505" t="n"/>
      <c r="AB53" s="4" t="n"/>
      <c r="AC53" s="505" t="n"/>
      <c r="AD53" s="4" t="n"/>
      <c r="AE53" s="4" t="n"/>
      <c r="AF53" s="4" t="n"/>
      <c r="AG53" s="505" t="n"/>
      <c r="AH53" s="4" t="n"/>
      <c r="AI53" s="4" t="n"/>
      <c r="AJ53" s="4" t="n"/>
      <c r="AK53" s="505" t="n"/>
      <c r="AL53" s="4" t="n"/>
      <c r="AM53" s="505" t="n"/>
      <c r="AN53" s="4" t="n"/>
      <c r="AO53" s="505" t="n"/>
      <c r="AP53" s="49" t="n"/>
      <c r="AQ53" s="4" t="n"/>
      <c r="AR53" s="49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506" t="n"/>
      <c r="BB53" s="507" t="n"/>
    </row>
    <row r="54" ht="15.6" customHeight="1">
      <c r="A54" s="168" t="n">
        <v>50</v>
      </c>
      <c r="B54" s="65" t="inlineStr">
        <is>
          <t>41792376</t>
        </is>
      </c>
      <c r="C54" s="484" t="n"/>
      <c r="D54" s="44" t="n">
        <v>46125</v>
      </c>
      <c r="E54" s="505" t="n"/>
      <c r="F54" s="46" t="n">
        <v>50</v>
      </c>
      <c r="G54" s="45" t="n">
        <v>2019</v>
      </c>
      <c r="H54" s="505" t="n"/>
      <c r="I54" s="505" t="inlineStr">
        <is>
          <t xml:space="preserve">Chevrolet </t>
        </is>
      </c>
      <c r="J54" s="505" t="n"/>
      <c r="K54" s="505" t="n"/>
      <c r="L54" s="505" t="n"/>
      <c r="M54" s="505" t="inlineStr">
        <is>
          <t>Trax</t>
        </is>
      </c>
      <c r="N54" s="505" t="inlineStr">
        <is>
          <t>Blanco</t>
        </is>
      </c>
      <c r="O54" s="46" t="n"/>
      <c r="P54" s="505" t="n"/>
      <c r="Q54" s="505" t="n"/>
      <c r="R54" s="505" t="n"/>
      <c r="S54" s="4" t="n"/>
      <c r="T54" s="4" t="n"/>
      <c r="U54" s="4" t="n"/>
      <c r="V54" s="505" t="n"/>
      <c r="W54" s="4" t="n"/>
      <c r="X54" s="4" t="n"/>
      <c r="Y54" s="476" t="n"/>
      <c r="Z54" s="4" t="n"/>
      <c r="AA54" s="505" t="n"/>
      <c r="AB54" s="4" t="n"/>
      <c r="AC54" s="505" t="n"/>
      <c r="AD54" s="4" t="n"/>
      <c r="AE54" s="4" t="n"/>
      <c r="AF54" s="4" t="n"/>
      <c r="AG54" s="505" t="n"/>
      <c r="AH54" s="4" t="n"/>
      <c r="AI54" s="4" t="n"/>
      <c r="AJ54" s="4" t="n"/>
      <c r="AK54" s="505" t="n"/>
      <c r="AL54" s="4" t="n"/>
      <c r="AM54" s="505" t="n"/>
      <c r="AN54" s="4" t="n"/>
      <c r="AO54" s="505" t="n"/>
      <c r="AP54" s="49" t="n"/>
      <c r="AQ54" s="4" t="n"/>
      <c r="AR54" s="49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506" t="n"/>
      <c r="BB54" s="507" t="n"/>
    </row>
    <row r="55" ht="15.6" customHeight="1">
      <c r="A55" s="168" t="n">
        <v>51</v>
      </c>
      <c r="B55" s="65" t="inlineStr">
        <is>
          <t>98497435</t>
        </is>
      </c>
      <c r="C55" s="484" t="n"/>
      <c r="D55" s="44" t="n">
        <v>46125</v>
      </c>
      <c r="E55" s="505" t="n"/>
      <c r="F55" s="46" t="n">
        <v>51</v>
      </c>
      <c r="G55" s="45" t="n">
        <v>2019</v>
      </c>
      <c r="H55" s="505" t="n"/>
      <c r="I55" s="505" t="inlineStr">
        <is>
          <t xml:space="preserve">Kia </t>
        </is>
      </c>
      <c r="J55" s="505" t="n"/>
      <c r="K55" s="505" t="n"/>
      <c r="L55" s="505" t="n"/>
      <c r="M55" s="505" t="inlineStr">
        <is>
          <t>Forte</t>
        </is>
      </c>
      <c r="N55" s="505" t="inlineStr">
        <is>
          <t>Azul</t>
        </is>
      </c>
      <c r="O55" s="46" t="n"/>
      <c r="P55" s="505" t="n"/>
      <c r="Q55" s="505" t="n"/>
      <c r="R55" s="505" t="n"/>
      <c r="S55" s="4" t="n"/>
      <c r="T55" s="4" t="n"/>
      <c r="U55" s="4" t="n"/>
      <c r="V55" s="505" t="n"/>
      <c r="W55" s="4" t="n"/>
      <c r="X55" s="4" t="n"/>
      <c r="Y55" s="476" t="n"/>
      <c r="Z55" s="4" t="n"/>
      <c r="AA55" s="505" t="n"/>
      <c r="AB55" s="4" t="n"/>
      <c r="AC55" s="505" t="n"/>
      <c r="AD55" s="4" t="n"/>
      <c r="AE55" s="4" t="n"/>
      <c r="AF55" s="4" t="n"/>
      <c r="AG55" s="505" t="n"/>
      <c r="AH55" s="4" t="n"/>
      <c r="AI55" s="4" t="n"/>
      <c r="AJ55" s="4" t="n"/>
      <c r="AK55" s="505" t="n"/>
      <c r="AL55" s="4" t="n"/>
      <c r="AM55" s="505" t="n"/>
      <c r="AN55" s="4" t="n"/>
      <c r="AO55" s="505" t="n"/>
      <c r="AP55" s="49" t="n"/>
      <c r="AQ55" s="4" t="n"/>
      <c r="AR55" s="49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506" t="n"/>
      <c r="BB55" s="507" t="n"/>
    </row>
    <row r="56" ht="15.6" customFormat="1" customHeight="1" s="120">
      <c r="A56" s="166" t="n">
        <v>52</v>
      </c>
      <c r="B56" s="132" t="inlineStr">
        <is>
          <t>76232205</t>
        </is>
      </c>
      <c r="C56" s="484" t="n"/>
      <c r="D56" s="5" t="n">
        <v>46126</v>
      </c>
      <c r="E56" s="494" t="n"/>
      <c r="F56" s="10" t="n">
        <v>52</v>
      </c>
      <c r="G56" s="6" t="n">
        <v>2020</v>
      </c>
      <c r="H56" s="494" t="n"/>
      <c r="I56" s="494" t="inlineStr">
        <is>
          <t>Jeep</t>
        </is>
      </c>
      <c r="J56" s="494" t="n"/>
      <c r="K56" s="494" t="n"/>
      <c r="L56" s="494" t="n"/>
      <c r="M56" s="494" t="inlineStr">
        <is>
          <t>Renegade Sport</t>
        </is>
      </c>
      <c r="N56" s="494" t="inlineStr">
        <is>
          <t>Blanco</t>
        </is>
      </c>
      <c r="O56" s="10" t="n"/>
      <c r="P56" s="494" t="n"/>
      <c r="Q56" s="494" t="n"/>
      <c r="R56" s="494" t="n"/>
      <c r="S56" s="124" t="n"/>
      <c r="T56" s="124" t="n"/>
      <c r="U56" s="124" t="n"/>
      <c r="V56" s="494" t="n"/>
      <c r="W56" s="124" t="n"/>
      <c r="X56" s="124" t="n"/>
      <c r="Y56" s="487" t="n"/>
      <c r="Z56" s="124" t="n"/>
      <c r="AA56" s="494" t="n"/>
      <c r="AB56" s="124" t="n"/>
      <c r="AC56" s="494" t="n"/>
      <c r="AD56" s="124" t="n"/>
      <c r="AE56" s="124" t="n"/>
      <c r="AF56" s="124" t="n"/>
      <c r="AG56" s="494" t="n"/>
      <c r="AH56" s="124" t="n"/>
      <c r="AI56" s="124" t="n"/>
      <c r="AJ56" s="124" t="n"/>
      <c r="AK56" s="494" t="n"/>
      <c r="AL56" s="124" t="n"/>
      <c r="AM56" s="494" t="n"/>
      <c r="AN56" s="4" t="n"/>
      <c r="AO56" s="505" t="n"/>
      <c r="AP56" s="9" t="n"/>
      <c r="AQ56" s="124" t="n"/>
      <c r="AR56" s="9" t="n"/>
      <c r="AS56" s="124" t="n"/>
      <c r="AT56" s="124" t="n"/>
      <c r="AU56" s="124" t="n"/>
      <c r="AV56" s="124" t="n"/>
      <c r="AW56" s="124" t="n"/>
      <c r="AX56" s="124" t="n"/>
      <c r="AY56" s="124" t="n"/>
      <c r="AZ56" s="124" t="n"/>
      <c r="BA56" s="488" t="n"/>
      <c r="BB56" s="499" t="n"/>
    </row>
    <row r="57" ht="15.6" customHeight="1">
      <c r="A57" s="168" t="n">
        <v>53</v>
      </c>
      <c r="B57" s="93" t="inlineStr">
        <is>
          <t>78953595</t>
        </is>
      </c>
      <c r="C57" s="484" t="n"/>
      <c r="D57" s="44" t="n">
        <v>46126</v>
      </c>
      <c r="E57" s="505" t="n"/>
      <c r="F57" s="46" t="n">
        <v>53</v>
      </c>
      <c r="G57" s="45" t="n">
        <v>2020</v>
      </c>
      <c r="H57" s="505" t="n"/>
      <c r="I57" s="505" t="inlineStr">
        <is>
          <t>Hyundai</t>
        </is>
      </c>
      <c r="J57" s="505" t="n"/>
      <c r="K57" s="505" t="n"/>
      <c r="L57" s="505" t="n"/>
      <c r="M57" s="505" t="inlineStr">
        <is>
          <t>Elantra Sel</t>
        </is>
      </c>
      <c r="N57" s="505" t="inlineStr">
        <is>
          <t>Azul</t>
        </is>
      </c>
      <c r="O57" s="46" t="n"/>
      <c r="P57" s="505" t="n"/>
      <c r="Q57" s="505" t="n"/>
      <c r="R57" s="505" t="n"/>
      <c r="S57" s="4" t="n"/>
      <c r="T57" s="4" t="n"/>
      <c r="U57" s="4" t="n"/>
      <c r="V57" s="505" t="n"/>
      <c r="W57" s="4" t="n"/>
      <c r="X57" s="4" t="n"/>
      <c r="Y57" s="476" t="n"/>
      <c r="Z57" s="4" t="n"/>
      <c r="AA57" s="505" t="n"/>
      <c r="AB57" s="4" t="n"/>
      <c r="AC57" s="505" t="n"/>
      <c r="AD57" s="4" t="n"/>
      <c r="AE57" s="4" t="n"/>
      <c r="AF57" s="4" t="n"/>
      <c r="AG57" s="505" t="n"/>
      <c r="AH57" s="4" t="n"/>
      <c r="AI57" s="4" t="n"/>
      <c r="AJ57" s="4" t="n"/>
      <c r="AK57" s="505" t="n"/>
      <c r="AL57" s="4" t="n"/>
      <c r="AM57" s="505" t="n"/>
      <c r="AN57" s="4" t="n"/>
      <c r="AO57" s="505" t="n"/>
      <c r="AP57" s="49" t="n"/>
      <c r="AQ57" s="4" t="n"/>
      <c r="AR57" s="49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506" t="n"/>
      <c r="BB57" s="507" t="n"/>
    </row>
    <row r="58" ht="15.6" customHeight="1">
      <c r="A58" s="168" t="n">
        <v>54</v>
      </c>
      <c r="B58" s="93" t="inlineStr">
        <is>
          <t>75247785</t>
        </is>
      </c>
      <c r="C58" s="484" t="n"/>
      <c r="D58" s="44" t="n">
        <v>46126</v>
      </c>
      <c r="E58" s="505" t="n"/>
      <c r="F58" s="46" t="n">
        <v>54</v>
      </c>
      <c r="G58" s="45" t="n">
        <v>2020</v>
      </c>
      <c r="H58" s="505" t="n"/>
      <c r="I58" s="505" t="inlineStr">
        <is>
          <t xml:space="preserve">Kia </t>
        </is>
      </c>
      <c r="J58" s="505" t="n"/>
      <c r="K58" s="505" t="n"/>
      <c r="L58" s="505" t="n"/>
      <c r="M58" s="505" t="inlineStr">
        <is>
          <t>Rio</t>
        </is>
      </c>
      <c r="N58" s="505" t="inlineStr">
        <is>
          <t>Blanco</t>
        </is>
      </c>
      <c r="O58" s="46" t="n"/>
      <c r="P58" s="505" t="n"/>
      <c r="Q58" s="505" t="n"/>
      <c r="R58" s="505" t="n"/>
      <c r="S58" s="4" t="n"/>
      <c r="T58" s="4" t="n"/>
      <c r="U58" s="4" t="n"/>
      <c r="V58" s="505" t="n"/>
      <c r="W58" s="4" t="n"/>
      <c r="X58" s="4" t="n"/>
      <c r="Y58" s="476" t="n"/>
      <c r="Z58" s="4" t="n"/>
      <c r="AA58" s="505" t="n"/>
      <c r="AB58" s="4" t="n"/>
      <c r="AC58" s="4" t="n"/>
      <c r="AD58" s="4" t="n"/>
      <c r="AE58" s="4" t="n"/>
      <c r="AF58" s="4" t="n"/>
      <c r="AG58" s="505" t="n"/>
      <c r="AH58" s="4" t="n"/>
      <c r="AI58" s="4" t="n"/>
      <c r="AJ58" s="4" t="n"/>
      <c r="AK58" s="505" t="n"/>
      <c r="AL58" s="4" t="n"/>
      <c r="AM58" s="505" t="n"/>
      <c r="AN58" s="4" t="n"/>
      <c r="AO58" s="505" t="n"/>
      <c r="AP58" s="49" t="n"/>
      <c r="AQ58" s="4" t="n"/>
      <c r="AR58" s="49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506" t="n"/>
      <c r="BB58" s="507" t="n"/>
    </row>
    <row r="59" ht="15.6" customHeight="1">
      <c r="A59" s="168" t="n">
        <v>55</v>
      </c>
      <c r="B59" s="95" t="inlineStr">
        <is>
          <t>99762885</t>
        </is>
      </c>
      <c r="C59" s="484" t="n"/>
      <c r="D59" s="44" t="n">
        <v>46127</v>
      </c>
      <c r="E59" s="505" t="n"/>
      <c r="F59" s="46" t="n">
        <v>55</v>
      </c>
      <c r="G59" s="45" t="n">
        <v>2023</v>
      </c>
      <c r="H59" s="505" t="n"/>
      <c r="I59" s="505" t="inlineStr">
        <is>
          <t xml:space="preserve"> Hyundai</t>
        </is>
      </c>
      <c r="J59" s="505" t="n"/>
      <c r="K59" s="505" t="n"/>
      <c r="L59" s="505" t="n"/>
      <c r="M59" s="505" t="inlineStr">
        <is>
          <t>Elantra</t>
        </is>
      </c>
      <c r="N59" s="505" t="inlineStr">
        <is>
          <t>Blanco</t>
        </is>
      </c>
      <c r="O59" s="46" t="n"/>
      <c r="P59" s="505" t="n"/>
      <c r="Q59" s="505" t="n"/>
      <c r="R59" s="505" t="n"/>
      <c r="S59" s="4" t="n"/>
      <c r="T59" s="4" t="n"/>
      <c r="U59" s="4" t="n"/>
      <c r="V59" s="505" t="n"/>
      <c r="W59" s="4" t="n"/>
      <c r="X59" s="4" t="n"/>
      <c r="Y59" s="476" t="n"/>
      <c r="Z59" s="4" t="n"/>
      <c r="AA59" s="505" t="n"/>
      <c r="AB59" s="4" t="n"/>
      <c r="AC59" s="4" t="n"/>
      <c r="AD59" s="4" t="n"/>
      <c r="AE59" s="4" t="n"/>
      <c r="AF59" s="4" t="n"/>
      <c r="AG59" s="505" t="n"/>
      <c r="AH59" s="4" t="n"/>
      <c r="AI59" s="4" t="n"/>
      <c r="AJ59" s="4" t="n"/>
      <c r="AK59" s="505" t="n"/>
      <c r="AL59" s="4" t="n"/>
      <c r="AM59" s="505" t="n"/>
      <c r="AN59" s="4" t="n"/>
      <c r="AO59" s="4" t="n"/>
      <c r="AP59" s="49" t="n"/>
      <c r="AQ59" s="4" t="n"/>
      <c r="AR59" s="49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506" t="n"/>
      <c r="BB59" s="507" t="n"/>
    </row>
    <row r="60" ht="15.6" customHeight="1">
      <c r="A60" s="168" t="n">
        <v>56</v>
      </c>
      <c r="B60" s="95" t="inlineStr">
        <is>
          <t>47168356</t>
        </is>
      </c>
      <c r="C60" s="484" t="n"/>
      <c r="D60" s="44" t="n">
        <v>46127</v>
      </c>
      <c r="E60" s="505" t="n"/>
      <c r="F60" s="46" t="n">
        <v>56</v>
      </c>
      <c r="G60" s="45" t="n">
        <v>2025</v>
      </c>
      <c r="H60" s="505" t="n"/>
      <c r="I60" s="505" t="inlineStr">
        <is>
          <t xml:space="preserve">Kia </t>
        </is>
      </c>
      <c r="J60" s="505" t="n"/>
      <c r="K60" s="505" t="n"/>
      <c r="L60" s="505" t="n"/>
      <c r="M60" s="505" t="inlineStr">
        <is>
          <t>K4 EX</t>
        </is>
      </c>
      <c r="N60" s="505" t="inlineStr">
        <is>
          <t>Negro</t>
        </is>
      </c>
      <c r="O60" s="46" t="n"/>
      <c r="P60" s="505" t="n"/>
      <c r="Q60" s="505" t="n"/>
      <c r="R60" s="505" t="n"/>
      <c r="S60" s="4" t="n"/>
      <c r="T60" s="4" t="n"/>
      <c r="U60" s="4" t="n"/>
      <c r="V60" s="505" t="n"/>
      <c r="W60" s="4" t="n"/>
      <c r="X60" s="4" t="n"/>
      <c r="Y60" s="476" t="n"/>
      <c r="Z60" s="4" t="n"/>
      <c r="AA60" s="505" t="n"/>
      <c r="AB60" s="4" t="n"/>
      <c r="AC60" s="4" t="n"/>
      <c r="AD60" s="4" t="n"/>
      <c r="AE60" s="4" t="n"/>
      <c r="AF60" s="4" t="n"/>
      <c r="AG60" s="505" t="n"/>
      <c r="AH60" s="4" t="n"/>
      <c r="AI60" s="4" t="n"/>
      <c r="AJ60" s="4" t="n"/>
      <c r="AK60" s="505" t="n"/>
      <c r="AL60" s="4" t="n"/>
      <c r="AM60" s="505" t="n"/>
      <c r="AN60" s="4" t="n"/>
      <c r="AO60" s="4" t="n"/>
      <c r="AP60" s="49" t="n"/>
      <c r="AQ60" s="4" t="n"/>
      <c r="AR60" s="49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506" t="n"/>
      <c r="BB60" s="507" t="n"/>
    </row>
    <row r="61" ht="15.6" customHeight="1">
      <c r="A61" s="168" t="n">
        <v>57</v>
      </c>
      <c r="B61" s="95" t="inlineStr">
        <is>
          <t>79611945</t>
        </is>
      </c>
      <c r="C61" s="484" t="n"/>
      <c r="D61" s="44" t="n">
        <v>46127</v>
      </c>
      <c r="E61" s="505" t="n"/>
      <c r="F61" s="46" t="n">
        <v>57</v>
      </c>
      <c r="G61" s="45" t="n">
        <v>2022</v>
      </c>
      <c r="H61" s="505" t="n"/>
      <c r="I61" s="505" t="inlineStr">
        <is>
          <t>Toyota</t>
        </is>
      </c>
      <c r="J61" s="505" t="n"/>
      <c r="K61" s="505" t="n"/>
      <c r="L61" s="505" t="n"/>
      <c r="M61" s="505" t="inlineStr">
        <is>
          <t>Corolla</t>
        </is>
      </c>
      <c r="N61" s="505" t="inlineStr">
        <is>
          <t>Rojo</t>
        </is>
      </c>
      <c r="O61" s="46" t="n"/>
      <c r="P61" s="505" t="n"/>
      <c r="Q61" s="505" t="n"/>
      <c r="R61" s="505" t="n"/>
      <c r="S61" s="4" t="n"/>
      <c r="T61" s="4" t="n"/>
      <c r="U61" s="4" t="n"/>
      <c r="V61" s="505" t="n"/>
      <c r="W61" s="4" t="n"/>
      <c r="X61" s="4" t="n"/>
      <c r="Y61" s="476" t="n"/>
      <c r="Z61" s="4" t="n"/>
      <c r="AA61" s="505" t="n"/>
      <c r="AB61" s="4" t="n"/>
      <c r="AC61" s="505" t="n"/>
      <c r="AD61" s="4" t="n"/>
      <c r="AE61" s="4" t="n"/>
      <c r="AF61" s="4" t="n"/>
      <c r="AG61" s="505" t="n"/>
      <c r="AH61" s="4" t="n"/>
      <c r="AI61" s="4" t="n"/>
      <c r="AJ61" s="4" t="n"/>
      <c r="AK61" s="505" t="n"/>
      <c r="AL61" s="4" t="n"/>
      <c r="AM61" s="505" t="n"/>
      <c r="AN61" s="4" t="n"/>
      <c r="AO61" s="4" t="n"/>
      <c r="AP61" s="49" t="n"/>
      <c r="AQ61" s="4" t="n"/>
      <c r="AR61" s="49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506" t="n"/>
      <c r="BB61" s="507" t="n"/>
    </row>
    <row r="62" ht="15.6" customHeight="1">
      <c r="A62" s="168" t="n">
        <v>58</v>
      </c>
      <c r="B62" s="91" t="inlineStr">
        <is>
          <t>74935815</t>
        </is>
      </c>
      <c r="C62" s="484" t="n"/>
      <c r="D62" s="44" t="n">
        <v>46128</v>
      </c>
      <c r="E62" s="505" t="n"/>
      <c r="F62" s="46" t="n">
        <v>58</v>
      </c>
      <c r="G62" s="45" t="n">
        <v>2021</v>
      </c>
      <c r="H62" s="505" t="n"/>
      <c r="I62" s="505" t="inlineStr">
        <is>
          <t>Hyundai</t>
        </is>
      </c>
      <c r="J62" s="505" t="n"/>
      <c r="K62" s="505" t="n"/>
      <c r="L62" s="505" t="n"/>
      <c r="M62" s="505" t="inlineStr">
        <is>
          <t>Elantra SEl</t>
        </is>
      </c>
      <c r="N62" s="505" t="inlineStr">
        <is>
          <t>Azul</t>
        </is>
      </c>
      <c r="O62" s="46" t="n"/>
      <c r="P62" s="505" t="n"/>
      <c r="Q62" s="505" t="n"/>
      <c r="R62" s="505" t="n"/>
      <c r="S62" s="4" t="n"/>
      <c r="T62" s="4" t="n"/>
      <c r="U62" s="4" t="n"/>
      <c r="V62" s="505" t="n"/>
      <c r="W62" s="4" t="n"/>
      <c r="X62" s="4" t="n"/>
      <c r="Y62" s="476" t="n"/>
      <c r="Z62" s="4" t="n"/>
      <c r="AA62" s="4" t="n"/>
      <c r="AB62" s="4" t="n"/>
      <c r="AC62" s="4" t="n"/>
      <c r="AD62" s="4" t="n"/>
      <c r="AE62" s="4" t="n"/>
      <c r="AF62" s="4" t="n"/>
      <c r="AG62" s="505" t="n"/>
      <c r="AH62" s="4" t="n"/>
      <c r="AI62" s="4" t="n"/>
      <c r="AJ62" s="4" t="n"/>
      <c r="AK62" s="505" t="n"/>
      <c r="AL62" s="4" t="n"/>
      <c r="AM62" s="505" t="n"/>
      <c r="AN62" s="4" t="n"/>
      <c r="AO62" s="4" t="n"/>
      <c r="AP62" s="49" t="n"/>
      <c r="AQ62" s="4" t="n"/>
      <c r="AR62" s="49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506" t="n"/>
      <c r="BB62" s="507" t="n"/>
    </row>
    <row r="63" ht="15.6" customHeight="1">
      <c r="A63" s="168" t="n">
        <v>59</v>
      </c>
      <c r="B63" s="91" t="inlineStr">
        <is>
          <t>74371655</t>
        </is>
      </c>
      <c r="C63" s="484" t="n"/>
      <c r="D63" s="44" t="n">
        <v>46128</v>
      </c>
      <c r="E63" s="505" t="n"/>
      <c r="F63" s="46" t="n">
        <v>59</v>
      </c>
      <c r="G63" s="45" t="n">
        <v>2019</v>
      </c>
      <c r="H63" s="505" t="n"/>
      <c r="I63" s="505" t="inlineStr">
        <is>
          <t xml:space="preserve">Mitsubishi </t>
        </is>
      </c>
      <c r="J63" s="505" t="n"/>
      <c r="K63" s="505" t="n"/>
      <c r="L63" s="505" t="n"/>
      <c r="M63" s="505" t="inlineStr">
        <is>
          <t>Mirage LE</t>
        </is>
      </c>
      <c r="N63" s="505" t="inlineStr">
        <is>
          <t>Silver</t>
        </is>
      </c>
      <c r="O63" s="46" t="n"/>
      <c r="P63" s="505" t="n"/>
      <c r="Q63" s="505" t="n"/>
      <c r="R63" s="505" t="n"/>
      <c r="S63" s="4" t="n"/>
      <c r="T63" s="4" t="n"/>
      <c r="U63" s="4" t="n"/>
      <c r="V63" s="505" t="n"/>
      <c r="W63" s="4" t="n"/>
      <c r="X63" s="4" t="n"/>
      <c r="Y63" s="476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505" t="n"/>
      <c r="AL63" s="4" t="n"/>
      <c r="AM63" s="4" t="n"/>
      <c r="AN63" s="4" t="n"/>
      <c r="AO63" s="4" t="n"/>
      <c r="AP63" s="49" t="n"/>
      <c r="AQ63" s="4" t="n"/>
      <c r="AR63" s="49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506" t="n"/>
      <c r="BB63" s="507" t="n"/>
    </row>
    <row r="64" ht="15.6" customHeight="1">
      <c r="A64" s="168" t="n">
        <v>60</v>
      </c>
      <c r="B64" s="111" t="inlineStr">
        <is>
          <t>46016746</t>
        </is>
      </c>
      <c r="C64" s="484" t="n"/>
      <c r="D64" s="44" t="n">
        <v>46160</v>
      </c>
      <c r="E64" s="505" t="n"/>
      <c r="F64" s="46" t="n">
        <v>60</v>
      </c>
      <c r="G64" s="45" t="n">
        <v>2019</v>
      </c>
      <c r="H64" s="505" t="n"/>
      <c r="I64" s="505" t="inlineStr">
        <is>
          <t>Hyundai</t>
        </is>
      </c>
      <c r="J64" s="505" t="n"/>
      <c r="K64" s="505" t="n"/>
      <c r="L64" s="505" t="n"/>
      <c r="M64" s="505" t="inlineStr">
        <is>
          <t>Veloster</t>
        </is>
      </c>
      <c r="N64" s="505" t="inlineStr">
        <is>
          <t>Negro</t>
        </is>
      </c>
      <c r="O64" s="46" t="n"/>
      <c r="P64" s="476" t="n"/>
      <c r="Q64" s="505" t="n"/>
      <c r="R64" s="505" t="n"/>
      <c r="S64" s="4" t="n"/>
      <c r="T64" s="4" t="n"/>
      <c r="U64" s="4" t="n"/>
      <c r="V64" s="505" t="n"/>
      <c r="W64" s="4" t="n"/>
      <c r="X64" s="4" t="n"/>
      <c r="Y64" s="476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9" t="n"/>
      <c r="AQ64" s="4" t="n"/>
      <c r="AR64" s="49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506" t="n"/>
      <c r="BB64" s="507" t="n"/>
    </row>
    <row r="65" ht="15.6" customHeight="1">
      <c r="A65" s="168" t="n">
        <v>61</v>
      </c>
      <c r="B65" s="111" t="inlineStr">
        <is>
          <t>49368466</t>
        </is>
      </c>
      <c r="C65" s="484" t="n"/>
      <c r="D65" s="44" t="n">
        <v>46160</v>
      </c>
      <c r="E65" s="505" t="n"/>
      <c r="F65" s="46" t="n">
        <v>61</v>
      </c>
      <c r="G65" s="45" t="n">
        <v>2020</v>
      </c>
      <c r="H65" s="505" t="n"/>
      <c r="I65" s="505" t="inlineStr">
        <is>
          <t xml:space="preserve">Kia </t>
        </is>
      </c>
      <c r="J65" s="505" t="n"/>
      <c r="K65" s="505" t="n"/>
      <c r="L65" s="505" t="n"/>
      <c r="M65" s="505" t="inlineStr">
        <is>
          <t>Rio</t>
        </is>
      </c>
      <c r="N65" s="505" t="inlineStr">
        <is>
          <t xml:space="preserve">Gris </t>
        </is>
      </c>
      <c r="O65" s="46" t="n"/>
      <c r="P65" s="476" t="n"/>
      <c r="Q65" s="505" t="n"/>
      <c r="R65" s="505" t="n"/>
      <c r="S65" s="4" t="n"/>
      <c r="T65" s="4" t="n"/>
      <c r="U65" s="4" t="n"/>
      <c r="V65" s="505" t="n"/>
      <c r="W65" s="4" t="n"/>
      <c r="X65" s="4" t="n"/>
      <c r="Y65" s="476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9" t="n"/>
      <c r="AQ65" s="4" t="n"/>
      <c r="AR65" s="49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506" t="n"/>
      <c r="BB65" s="507" t="n"/>
    </row>
    <row r="66" ht="15.6" customHeight="1">
      <c r="A66" s="168" t="n">
        <v>62</v>
      </c>
      <c r="B66" s="111" t="inlineStr">
        <is>
          <t>78815315</t>
        </is>
      </c>
      <c r="C66" s="484" t="n"/>
      <c r="D66" s="44" t="n">
        <v>46160</v>
      </c>
      <c r="E66" s="505" t="n"/>
      <c r="F66" s="46" t="n">
        <v>62</v>
      </c>
      <c r="G66" s="45" t="n">
        <v>2019</v>
      </c>
      <c r="H66" s="505" t="n"/>
      <c r="I66" s="505" t="inlineStr">
        <is>
          <t>Nissan</t>
        </is>
      </c>
      <c r="J66" s="505" t="n"/>
      <c r="K66" s="505" t="n"/>
      <c r="L66" s="505" t="n"/>
      <c r="M66" s="505" t="inlineStr">
        <is>
          <t xml:space="preserve">Sentra </t>
        </is>
      </c>
      <c r="N66" s="505" t="inlineStr">
        <is>
          <t xml:space="preserve">Gris </t>
        </is>
      </c>
      <c r="O66" s="46" t="n"/>
      <c r="P66" s="476" t="n"/>
      <c r="Q66" s="505" t="n"/>
      <c r="R66" s="505" t="n"/>
      <c r="S66" s="4" t="n"/>
      <c r="T66" s="4" t="n"/>
      <c r="U66" s="4" t="n"/>
      <c r="V66" s="505" t="n"/>
      <c r="W66" s="4" t="n"/>
      <c r="X66" s="4" t="n"/>
      <c r="Y66" s="476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9" t="n"/>
      <c r="AQ66" s="4" t="n"/>
      <c r="AR66" s="49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506" t="n"/>
      <c r="BB66" s="507" t="n"/>
    </row>
    <row r="67" ht="15.6" customHeight="1">
      <c r="A67" s="168" t="n">
        <v>63</v>
      </c>
      <c r="B67" s="112" t="inlineStr">
        <is>
          <t>52164596</t>
        </is>
      </c>
      <c r="C67" s="484" t="n"/>
      <c r="D67" s="44" t="n">
        <v>46161</v>
      </c>
      <c r="E67" s="505" t="n"/>
      <c r="F67" s="46" t="n">
        <v>63</v>
      </c>
      <c r="G67" s="45" t="n">
        <v>2020</v>
      </c>
      <c r="H67" s="505" t="n"/>
      <c r="I67" s="505" t="inlineStr">
        <is>
          <t xml:space="preserve">Chevrolet </t>
        </is>
      </c>
      <c r="J67" s="505" t="n"/>
      <c r="K67" s="505" t="n"/>
      <c r="L67" s="505" t="n"/>
      <c r="M67" s="505" t="inlineStr">
        <is>
          <t>Spark 1LT</t>
        </is>
      </c>
      <c r="N67" s="505" t="inlineStr">
        <is>
          <t>Silver</t>
        </is>
      </c>
      <c r="O67" s="46" t="n"/>
      <c r="P67" s="476" t="n"/>
      <c r="Q67" s="505" t="n"/>
      <c r="R67" s="505" t="n"/>
      <c r="S67" s="4" t="n"/>
      <c r="T67" s="4" t="n"/>
      <c r="U67" s="4" t="n"/>
      <c r="V67" s="505" t="n"/>
      <c r="W67" s="4" t="n"/>
      <c r="X67" s="4" t="n"/>
      <c r="Y67" s="476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9" t="n"/>
      <c r="AQ67" s="4" t="n"/>
      <c r="AR67" s="49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506" t="n"/>
      <c r="BB67" s="507" t="n"/>
    </row>
    <row r="68" ht="15.6" customHeight="1">
      <c r="A68" s="168" t="n">
        <v>64</v>
      </c>
      <c r="B68" s="112" t="inlineStr">
        <is>
          <t>48356166</t>
        </is>
      </c>
      <c r="C68" s="484" t="n"/>
      <c r="D68" s="44" t="n">
        <v>46161</v>
      </c>
      <c r="E68" s="505" t="n"/>
      <c r="F68" s="46" t="n">
        <v>64</v>
      </c>
      <c r="G68" s="45" t="n">
        <v>2022</v>
      </c>
      <c r="H68" s="505" t="n"/>
      <c r="I68" s="505" t="inlineStr">
        <is>
          <t>Nissan</t>
        </is>
      </c>
      <c r="J68" s="505" t="n"/>
      <c r="K68" s="505" t="n"/>
      <c r="L68" s="505" t="n"/>
      <c r="M68" s="505" t="inlineStr">
        <is>
          <t>Versa SV</t>
        </is>
      </c>
      <c r="N68" s="505" t="inlineStr">
        <is>
          <t>Silver</t>
        </is>
      </c>
      <c r="O68" s="46" t="n"/>
      <c r="P68" s="476" t="n"/>
      <c r="Q68" s="505" t="n"/>
      <c r="R68" s="505" t="n"/>
      <c r="S68" s="4" t="n"/>
      <c r="T68" s="4" t="n"/>
      <c r="U68" s="4" t="n"/>
      <c r="V68" s="505" t="n"/>
      <c r="W68" s="4" t="n"/>
      <c r="X68" s="4" t="n"/>
      <c r="Y68" s="476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9" t="n"/>
      <c r="AQ68" s="4" t="n"/>
      <c r="AR68" s="49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506" t="n"/>
      <c r="BB68" s="507" t="n"/>
    </row>
    <row r="69" ht="15.6" customHeight="1">
      <c r="A69" s="168" t="n">
        <v>65</v>
      </c>
      <c r="B69" s="112" t="inlineStr">
        <is>
          <t>50007056</t>
        </is>
      </c>
      <c r="C69" s="484" t="n"/>
      <c r="D69" s="44" t="n">
        <v>46161</v>
      </c>
      <c r="E69" s="505" t="n"/>
      <c r="F69" s="46" t="n">
        <v>65</v>
      </c>
      <c r="G69" s="45" t="n">
        <v>2020</v>
      </c>
      <c r="H69" s="505" t="n"/>
      <c r="I69" s="505" t="inlineStr">
        <is>
          <t>Kia</t>
        </is>
      </c>
      <c r="J69" s="505" t="n"/>
      <c r="K69" s="505" t="n"/>
      <c r="L69" s="505" t="n"/>
      <c r="M69" s="505" t="inlineStr">
        <is>
          <t>Soul GT</t>
        </is>
      </c>
      <c r="N69" s="505" t="inlineStr">
        <is>
          <t xml:space="preserve">Gris </t>
        </is>
      </c>
      <c r="O69" s="46" t="n"/>
      <c r="P69" s="476" t="n"/>
      <c r="Q69" s="505" t="n"/>
      <c r="R69" s="505" t="n"/>
      <c r="S69" s="4" t="n"/>
      <c r="T69" s="4" t="n"/>
      <c r="U69" s="4" t="n"/>
      <c r="V69" s="505" t="n"/>
      <c r="W69" s="4" t="n"/>
      <c r="X69" s="4" t="n"/>
      <c r="Y69" s="476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9" t="n"/>
      <c r="AQ69" s="4" t="n"/>
      <c r="AR69" s="49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506" t="n"/>
      <c r="BB69" s="507" t="n"/>
    </row>
    <row r="70" ht="15.6" customHeight="1">
      <c r="A70" s="168" t="n">
        <v>66</v>
      </c>
      <c r="B70" s="94" t="inlineStr">
        <is>
          <t>78974315</t>
        </is>
      </c>
      <c r="C70" s="484" t="n"/>
      <c r="D70" s="44" t="n">
        <v>46164</v>
      </c>
      <c r="E70" s="505" t="n"/>
      <c r="F70" s="46" t="n">
        <v>66</v>
      </c>
      <c r="G70" s="45" t="n">
        <v>2019</v>
      </c>
      <c r="H70" s="505" t="n"/>
      <c r="I70" s="505" t="inlineStr">
        <is>
          <t xml:space="preserve">Chevrolet </t>
        </is>
      </c>
      <c r="J70" s="505" t="n"/>
      <c r="K70" s="505" t="n"/>
      <c r="L70" s="505" t="n"/>
      <c r="M70" s="505" t="inlineStr">
        <is>
          <t>Trax</t>
        </is>
      </c>
      <c r="N70" s="505" t="inlineStr">
        <is>
          <t>Blanco</t>
        </is>
      </c>
      <c r="O70" s="46" t="n"/>
      <c r="P70" s="505" t="n"/>
      <c r="Q70" s="505" t="n"/>
      <c r="R70" s="505" t="n"/>
      <c r="S70" s="4" t="n"/>
      <c r="T70" s="4" t="n"/>
      <c r="U70" s="4" t="n"/>
      <c r="V70" s="505" t="n"/>
      <c r="W70" s="4" t="n"/>
      <c r="X70" s="4" t="n"/>
      <c r="Y70" s="476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9" t="n"/>
      <c r="AQ70" s="4" t="n"/>
      <c r="AR70" s="49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506" t="n"/>
      <c r="BB70" s="507" t="n"/>
    </row>
    <row r="71" ht="15.6" customHeight="1">
      <c r="A71" s="168" t="n">
        <v>67</v>
      </c>
      <c r="B71" s="94" t="inlineStr">
        <is>
          <t>45601786</t>
        </is>
      </c>
      <c r="C71" s="484" t="n"/>
      <c r="D71" s="44" t="n">
        <v>46164</v>
      </c>
      <c r="E71" s="505" t="n"/>
      <c r="F71" s="46" t="n">
        <v>67</v>
      </c>
      <c r="G71" s="45" t="n">
        <v>2021</v>
      </c>
      <c r="H71" s="505" t="n"/>
      <c r="I71" s="505" t="inlineStr">
        <is>
          <t>Nissan</t>
        </is>
      </c>
      <c r="J71" s="505" t="n"/>
      <c r="K71" s="505" t="n"/>
      <c r="L71" s="505" t="n"/>
      <c r="M71" s="505" t="inlineStr">
        <is>
          <t>Versa SV</t>
        </is>
      </c>
      <c r="N71" s="505" t="inlineStr">
        <is>
          <t xml:space="preserve">Gris </t>
        </is>
      </c>
      <c r="O71" s="46" t="n"/>
      <c r="P71" s="505" t="n"/>
      <c r="Q71" s="505" t="n"/>
      <c r="R71" s="505" t="n"/>
      <c r="S71" s="4" t="n"/>
      <c r="T71" s="4" t="n"/>
      <c r="U71" s="4" t="n"/>
      <c r="V71" s="505" t="n"/>
      <c r="W71" s="4" t="n"/>
      <c r="X71" s="4" t="n"/>
      <c r="Y71" s="476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9" t="n"/>
      <c r="AQ71" s="4" t="n"/>
      <c r="AR71" s="49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506" t="n"/>
      <c r="BB71" s="507" t="n"/>
    </row>
    <row r="72" ht="15.6" customHeight="1">
      <c r="A72" s="168" t="n">
        <v>68</v>
      </c>
      <c r="B72" s="94" t="inlineStr">
        <is>
          <t>47293036</t>
        </is>
      </c>
      <c r="C72" s="484" t="n"/>
      <c r="D72" s="44" t="n">
        <v>46164</v>
      </c>
      <c r="E72" s="505" t="n"/>
      <c r="F72" s="46" t="n">
        <v>68</v>
      </c>
      <c r="G72" s="45" t="n">
        <v>2020</v>
      </c>
      <c r="H72" s="505" t="n"/>
      <c r="I72" s="45" t="inlineStr">
        <is>
          <t>Hyundai</t>
        </is>
      </c>
      <c r="J72" s="45" t="n"/>
      <c r="K72" s="45" t="n"/>
      <c r="L72" s="86" t="n"/>
      <c r="M72" s="45" t="inlineStr">
        <is>
          <t>Accent</t>
        </is>
      </c>
      <c r="N72" s="505" t="inlineStr">
        <is>
          <t>Azul</t>
        </is>
      </c>
      <c r="O72" s="46" t="n"/>
      <c r="P72" s="505" t="n"/>
      <c r="Q72" s="505" t="n"/>
      <c r="R72" s="505" t="n"/>
      <c r="S72" s="4" t="n"/>
      <c r="T72" s="4" t="n"/>
      <c r="U72" s="4" t="n"/>
      <c r="V72" s="505" t="n"/>
      <c r="W72" s="4" t="n"/>
      <c r="X72" s="4" t="n"/>
      <c r="Y72" s="476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9" t="n"/>
      <c r="AQ72" s="4" t="n"/>
      <c r="AR72" s="49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506" t="n"/>
      <c r="BB72" s="507" t="n"/>
    </row>
    <row r="73" ht="15.6" customHeight="1">
      <c r="A73" s="168" t="n">
        <v>69</v>
      </c>
      <c r="B73" s="94" t="inlineStr">
        <is>
          <t>50210906</t>
        </is>
      </c>
      <c r="C73" s="484" t="n"/>
      <c r="D73" s="44" t="n">
        <v>46164</v>
      </c>
      <c r="E73" s="505" t="n"/>
      <c r="F73" s="46" t="n">
        <v>69</v>
      </c>
      <c r="G73" s="45" t="n">
        <v>2019</v>
      </c>
      <c r="H73" s="505" t="n"/>
      <c r="I73" s="505" t="inlineStr">
        <is>
          <t>Nissan</t>
        </is>
      </c>
      <c r="J73" s="505" t="n"/>
      <c r="K73" s="505" t="n"/>
      <c r="L73" s="505" t="n"/>
      <c r="M73" s="505" t="inlineStr">
        <is>
          <t xml:space="preserve">Sentra </t>
        </is>
      </c>
      <c r="N73" s="505" t="inlineStr">
        <is>
          <t>Negro</t>
        </is>
      </c>
      <c r="O73" s="46" t="n"/>
      <c r="P73" s="505" t="n"/>
      <c r="Q73" s="505" t="n"/>
      <c r="R73" s="505" t="n"/>
      <c r="S73" s="4" t="n"/>
      <c r="T73" s="4" t="n"/>
      <c r="U73" s="4" t="n"/>
      <c r="V73" s="505" t="n"/>
      <c r="W73" s="4" t="n"/>
      <c r="X73" s="4" t="n"/>
      <c r="Y73" s="476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9" t="n"/>
      <c r="AQ73" s="4" t="n"/>
      <c r="AR73" s="49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506" t="n"/>
      <c r="BB73" s="507" t="n"/>
    </row>
    <row r="74" ht="15.6" customHeight="1">
      <c r="A74" s="168" t="n">
        <v>70</v>
      </c>
      <c r="B74" s="113" t="inlineStr">
        <is>
          <t>79531565</t>
        </is>
      </c>
      <c r="C74" s="484" t="n"/>
      <c r="D74" s="44" t="n">
        <v>46168</v>
      </c>
      <c r="E74" s="505" t="n"/>
      <c r="F74" s="46" t="n">
        <v>70</v>
      </c>
      <c r="G74" s="45" t="n">
        <v>2021</v>
      </c>
      <c r="H74" s="505" t="n"/>
      <c r="I74" s="505" t="inlineStr">
        <is>
          <t>Ford</t>
        </is>
      </c>
      <c r="J74" s="505" t="n"/>
      <c r="K74" s="505" t="n"/>
      <c r="L74" s="505" t="n"/>
      <c r="M74" s="505" t="inlineStr">
        <is>
          <t>Ecosport</t>
        </is>
      </c>
      <c r="N74" s="505" t="inlineStr">
        <is>
          <t>Blanco</t>
        </is>
      </c>
      <c r="O74" s="46" t="n"/>
      <c r="P74" s="505" t="n"/>
      <c r="Q74" s="505" t="n"/>
      <c r="R74" s="505" t="n"/>
      <c r="S74" s="4" t="n"/>
      <c r="T74" s="4" t="n"/>
      <c r="U74" s="4" t="n"/>
      <c r="V74" s="505" t="n"/>
      <c r="W74" s="4" t="n"/>
      <c r="X74" s="4" t="n"/>
      <c r="Y74" s="476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9" t="n"/>
      <c r="AQ74" s="4" t="n"/>
      <c r="AR74" s="49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506" t="n"/>
      <c r="BB74" s="507" t="n"/>
    </row>
    <row r="75" ht="15.6" customHeight="1">
      <c r="A75" s="168" t="n">
        <v>71</v>
      </c>
      <c r="B75" s="113" t="inlineStr">
        <is>
          <t>75348225</t>
        </is>
      </c>
      <c r="C75" s="484" t="n"/>
      <c r="D75" s="44" t="n">
        <v>46168</v>
      </c>
      <c r="E75" s="505" t="n"/>
      <c r="F75" s="46" t="n">
        <v>71</v>
      </c>
      <c r="G75" s="45" t="n">
        <v>2022</v>
      </c>
      <c r="H75" s="505" t="n"/>
      <c r="I75" s="505" t="inlineStr">
        <is>
          <t xml:space="preserve">Kia </t>
        </is>
      </c>
      <c r="J75" s="505" t="n"/>
      <c r="K75" s="505" t="n"/>
      <c r="L75" s="505" t="n"/>
      <c r="M75" s="505" t="inlineStr">
        <is>
          <t>Rio LX</t>
        </is>
      </c>
      <c r="N75" s="505" t="inlineStr">
        <is>
          <t>Negro</t>
        </is>
      </c>
      <c r="O75" s="46" t="n"/>
      <c r="P75" s="505" t="n"/>
      <c r="Q75" s="505" t="n"/>
      <c r="R75" s="505" t="n"/>
      <c r="S75" s="4" t="n"/>
      <c r="T75" s="4" t="n"/>
      <c r="U75" s="4" t="n"/>
      <c r="V75" s="505" t="n"/>
      <c r="W75" s="4" t="n"/>
      <c r="X75" s="4" t="n"/>
      <c r="Y75" s="476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9" t="n"/>
      <c r="AQ75" s="4" t="n"/>
      <c r="AR75" s="49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506" t="n"/>
      <c r="BB75" s="507" t="n"/>
    </row>
    <row r="76" ht="15.6" customHeight="1">
      <c r="A76" s="168" t="n">
        <v>72</v>
      </c>
      <c r="B76" s="92" t="inlineStr">
        <is>
          <t>68581874</t>
        </is>
      </c>
      <c r="C76" s="484" t="n"/>
      <c r="D76" s="44" t="n">
        <v>46169</v>
      </c>
      <c r="E76" s="505" t="n"/>
      <c r="F76" s="46" t="n">
        <v>72</v>
      </c>
      <c r="G76" s="45" t="n">
        <v>2020</v>
      </c>
      <c r="H76" s="505" t="n"/>
      <c r="I76" s="505" t="inlineStr">
        <is>
          <t>Hyundai</t>
        </is>
      </c>
      <c r="J76" s="505" t="n"/>
      <c r="K76" s="505" t="n"/>
      <c r="L76" s="505" t="n"/>
      <c r="M76" s="505" t="inlineStr">
        <is>
          <t>Accent</t>
        </is>
      </c>
      <c r="N76" s="505" t="inlineStr">
        <is>
          <t>Azul</t>
        </is>
      </c>
      <c r="O76" s="46" t="n"/>
      <c r="P76" s="505" t="n"/>
      <c r="Q76" s="505" t="n"/>
      <c r="R76" s="505" t="n"/>
      <c r="S76" s="4" t="n"/>
      <c r="T76" s="4" t="n"/>
      <c r="U76" s="4" t="n"/>
      <c r="V76" s="505" t="n"/>
      <c r="W76" s="4" t="n"/>
      <c r="X76" s="4" t="n"/>
      <c r="Y76" s="476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9" t="n"/>
      <c r="AQ76" s="4" t="n"/>
      <c r="AR76" s="49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506" t="n"/>
      <c r="BB76" s="507" t="n"/>
    </row>
    <row r="77" ht="15.6" customHeight="1">
      <c r="A77" s="168" t="n">
        <v>73</v>
      </c>
      <c r="B77" s="92" t="n">
        <v>50823796</v>
      </c>
      <c r="C77" s="484" t="n"/>
      <c r="D77" s="44" t="n">
        <v>46169</v>
      </c>
      <c r="E77" s="505" t="n"/>
      <c r="F77" s="46" t="n">
        <v>73</v>
      </c>
      <c r="G77" s="45" t="n">
        <v>2019</v>
      </c>
      <c r="H77" s="505" t="n"/>
      <c r="I77" s="505" t="inlineStr">
        <is>
          <t>Ford</t>
        </is>
      </c>
      <c r="J77" s="505" t="n"/>
      <c r="K77" s="505" t="n"/>
      <c r="L77" s="505" t="n"/>
      <c r="M77" s="505" t="inlineStr">
        <is>
          <t>Escape</t>
        </is>
      </c>
      <c r="N77" s="505" t="inlineStr">
        <is>
          <t>Blanco</t>
        </is>
      </c>
      <c r="O77" s="46" t="n"/>
      <c r="P77" s="505" t="n"/>
      <c r="Q77" s="505" t="n"/>
      <c r="R77" s="505" t="n"/>
      <c r="S77" s="4" t="n"/>
      <c r="T77" s="4" t="n"/>
      <c r="U77" s="4" t="n"/>
      <c r="V77" s="505" t="n"/>
      <c r="W77" s="4" t="n"/>
      <c r="X77" s="4" t="n"/>
      <c r="Y77" s="476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9" t="n"/>
      <c r="AQ77" s="4" t="n"/>
      <c r="AR77" s="49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506" t="n"/>
      <c r="BB77" s="507" t="n"/>
    </row>
    <row r="78" ht="15.6" customHeight="1">
      <c r="A78" s="168" t="n">
        <v>74</v>
      </c>
      <c r="B78" s="65" t="n">
        <v>50478816</v>
      </c>
      <c r="C78" s="484" t="n"/>
      <c r="D78" s="44" t="n">
        <v>46170</v>
      </c>
      <c r="E78" s="505" t="n"/>
      <c r="F78" s="46" t="n">
        <v>74</v>
      </c>
      <c r="G78" s="45" t="n">
        <v>2020</v>
      </c>
      <c r="H78" s="505" t="n"/>
      <c r="I78" s="505" t="inlineStr">
        <is>
          <t>Ford</t>
        </is>
      </c>
      <c r="J78" s="505" t="n"/>
      <c r="K78" s="505" t="n"/>
      <c r="L78" s="505" t="n"/>
      <c r="M78" s="505" t="inlineStr">
        <is>
          <t>Ecosport</t>
        </is>
      </c>
      <c r="N78" s="505" t="inlineStr">
        <is>
          <t>Blanco</t>
        </is>
      </c>
      <c r="O78" s="46" t="n"/>
      <c r="P78" s="505" t="n"/>
      <c r="Q78" s="505" t="n"/>
      <c r="R78" s="505" t="n"/>
      <c r="S78" s="4" t="n"/>
      <c r="T78" s="4" t="n"/>
      <c r="U78" s="4" t="n"/>
      <c r="V78" s="505" t="n"/>
      <c r="W78" s="4" t="n"/>
      <c r="X78" s="4" t="n"/>
      <c r="Y78" s="476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9" t="n"/>
      <c r="AQ78" s="4" t="n"/>
      <c r="AR78" s="49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506" t="n"/>
      <c r="BB78" s="507" t="n"/>
    </row>
    <row r="79" ht="15.6" customHeight="1">
      <c r="A79" s="168" t="n">
        <v>75</v>
      </c>
      <c r="B79" s="65" t="n">
        <v>48756046</v>
      </c>
      <c r="C79" s="484" t="n"/>
      <c r="D79" s="44" t="n">
        <v>46170</v>
      </c>
      <c r="E79" s="505" t="n"/>
      <c r="F79" s="46" t="n">
        <v>75</v>
      </c>
      <c r="G79" s="45" t="n">
        <v>2019</v>
      </c>
      <c r="H79" s="505" t="n"/>
      <c r="I79" s="505" t="inlineStr">
        <is>
          <t>Hyundai</t>
        </is>
      </c>
      <c r="J79" s="505" t="n"/>
      <c r="K79" s="505" t="n"/>
      <c r="L79" s="505" t="n"/>
      <c r="M79" s="505" t="inlineStr">
        <is>
          <t>Elantra</t>
        </is>
      </c>
      <c r="N79" s="505" t="inlineStr">
        <is>
          <t>Negro</t>
        </is>
      </c>
      <c r="O79" s="46" t="n"/>
      <c r="P79" s="505" t="n"/>
      <c r="Q79" s="505" t="n"/>
      <c r="R79" s="505" t="n"/>
      <c r="S79" s="4" t="n"/>
      <c r="T79" s="4" t="n"/>
      <c r="U79" s="4" t="n"/>
      <c r="V79" s="505" t="n"/>
      <c r="W79" s="4" t="n"/>
      <c r="X79" s="4" t="n"/>
      <c r="Y79" s="476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9" t="n"/>
      <c r="AQ79" s="4" t="n"/>
      <c r="AR79" s="49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506" t="n"/>
      <c r="BB79" s="507" t="n"/>
    </row>
    <row r="80" ht="15.6" customHeight="1">
      <c r="A80" s="168" t="n">
        <v>76</v>
      </c>
      <c r="B80" s="65" t="n">
        <v>52616616</v>
      </c>
      <c r="C80" s="484" t="n"/>
      <c r="D80" s="44" t="n">
        <v>46170</v>
      </c>
      <c r="E80" s="505" t="n"/>
      <c r="F80" s="46" t="n">
        <v>76</v>
      </c>
      <c r="G80" s="45" t="n">
        <v>2019</v>
      </c>
      <c r="H80" s="505" t="n"/>
      <c r="I80" s="505" t="inlineStr">
        <is>
          <t xml:space="preserve">Nissan </t>
        </is>
      </c>
      <c r="J80" s="505" t="n"/>
      <c r="K80" s="505" t="n"/>
      <c r="L80" s="505" t="n"/>
      <c r="M80" s="505" t="inlineStr">
        <is>
          <t>Versa SV</t>
        </is>
      </c>
      <c r="N80" s="505" t="inlineStr">
        <is>
          <t>Azul</t>
        </is>
      </c>
      <c r="O80" s="46" t="n"/>
      <c r="P80" s="505" t="n"/>
      <c r="Q80" s="505" t="n"/>
      <c r="R80" s="505" t="n"/>
      <c r="S80" s="4" t="n"/>
      <c r="T80" s="4" t="n"/>
      <c r="U80" s="4" t="n"/>
      <c r="V80" s="505" t="n"/>
      <c r="W80" s="4" t="n"/>
      <c r="X80" s="4" t="n"/>
      <c r="Y80" s="476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9" t="n"/>
      <c r="AQ80" s="4" t="n"/>
      <c r="AR80" s="49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506" t="n"/>
      <c r="BB80" s="507" t="n"/>
    </row>
    <row r="81" ht="15.6" customHeight="1">
      <c r="A81" s="168" t="n">
        <v>77</v>
      </c>
      <c r="B81" s="65" t="n">
        <v>45983796</v>
      </c>
      <c r="C81" s="484" t="n"/>
      <c r="D81" s="44" t="n">
        <v>46170</v>
      </c>
      <c r="E81" s="505" t="n"/>
      <c r="F81" s="46" t="n">
        <v>77</v>
      </c>
      <c r="G81" s="45" t="n">
        <v>2020</v>
      </c>
      <c r="H81" s="505" t="n"/>
      <c r="I81" s="505" t="inlineStr">
        <is>
          <t xml:space="preserve">Mitsubishi </t>
        </is>
      </c>
      <c r="J81" s="505" t="n"/>
      <c r="K81" s="505" t="n"/>
      <c r="L81" s="505" t="n"/>
      <c r="M81" s="505" t="inlineStr">
        <is>
          <t>Mirage ES</t>
        </is>
      </c>
      <c r="N81" s="505" t="inlineStr">
        <is>
          <t>Silver</t>
        </is>
      </c>
      <c r="O81" s="46" t="n"/>
      <c r="P81" s="505" t="n"/>
      <c r="Q81" s="505" t="n"/>
      <c r="R81" s="505" t="n"/>
      <c r="S81" s="4" t="n"/>
      <c r="T81" s="4" t="n"/>
      <c r="U81" s="4" t="n"/>
      <c r="V81" s="505" t="n"/>
      <c r="W81" s="4" t="n"/>
      <c r="X81" s="4" t="n"/>
      <c r="Y81" s="476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9" t="n"/>
      <c r="AQ81" s="4" t="n"/>
      <c r="AR81" s="49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506" t="n"/>
      <c r="BB81" s="507" t="n"/>
    </row>
    <row r="82" ht="15.6" customHeight="1">
      <c r="A82" s="168" t="n">
        <v>78</v>
      </c>
      <c r="B82" s="2" t="n"/>
      <c r="C82" s="484" t="n"/>
      <c r="D82" s="44" t="n"/>
      <c r="E82" s="505" t="n"/>
      <c r="F82" s="46" t="n">
        <v>78</v>
      </c>
      <c r="G82" s="45" t="n"/>
      <c r="H82" s="505" t="n"/>
      <c r="I82" s="505" t="n"/>
      <c r="J82" s="505" t="n"/>
      <c r="K82" s="505" t="n"/>
      <c r="L82" s="505" t="n"/>
      <c r="M82" s="505" t="n"/>
      <c r="N82" s="505" t="n"/>
      <c r="O82" s="46" t="n"/>
      <c r="P82" s="505" t="n"/>
      <c r="Q82" s="505" t="n"/>
      <c r="R82" s="505" t="n"/>
      <c r="S82" s="4" t="n"/>
      <c r="T82" s="4" t="n"/>
      <c r="U82" s="4" t="n"/>
      <c r="V82" s="4" t="n"/>
      <c r="W82" s="4" t="n"/>
      <c r="X82" s="4" t="n"/>
      <c r="Y82" s="476">
        <f>P82+R82+T82+V82+X82</f>
        <v/>
      </c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9" t="n"/>
      <c r="AQ82" s="4" t="n"/>
      <c r="AR82" s="49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506">
        <f>AA82+AC82+AE82+AG82+AI82+AK82+AM82+AO82+AQ82+AS82+AU82+AW82</f>
        <v/>
      </c>
      <c r="BB82" s="507">
        <f>Y82+BA82</f>
        <v/>
      </c>
    </row>
    <row r="83" ht="15.6" customHeight="1">
      <c r="A83" s="168" t="n">
        <v>79</v>
      </c>
      <c r="B83" s="2" t="n"/>
      <c r="C83" s="484" t="n"/>
      <c r="D83" s="505" t="n"/>
      <c r="E83" s="505" t="n"/>
      <c r="F83" s="46" t="n">
        <v>79</v>
      </c>
      <c r="G83" s="505" t="n"/>
      <c r="H83" s="505" t="n"/>
      <c r="I83" s="505" t="n"/>
      <c r="J83" s="505" t="n"/>
      <c r="K83" s="505" t="n"/>
      <c r="L83" s="505" t="n"/>
      <c r="M83" s="505" t="n"/>
      <c r="N83" s="505" t="n"/>
      <c r="O83" s="505" t="n"/>
      <c r="P83" s="505" t="n"/>
      <c r="Q83" s="505" t="n"/>
      <c r="R83" s="4" t="n"/>
      <c r="S83" s="4" t="n"/>
      <c r="T83" s="4" t="n"/>
      <c r="U83" s="4" t="n"/>
      <c r="V83" s="4" t="n"/>
      <c r="W83" s="4" t="n"/>
      <c r="X83" s="4" t="n"/>
      <c r="Y83" s="476">
        <f>P83+R83+T83+V83+X83</f>
        <v/>
      </c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9" t="n"/>
      <c r="AQ83" s="4" t="n"/>
      <c r="AR83" s="49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506">
        <f>AA83+AC83+AE83+AG83+AI83+AK83+AM83+AO83+AQ83+AS83+AU83+AW83</f>
        <v/>
      </c>
      <c r="BB83" s="507">
        <f>Y83+BA83</f>
        <v/>
      </c>
    </row>
    <row r="84" ht="15.6" customHeight="1">
      <c r="A84" s="168" t="n">
        <v>80</v>
      </c>
      <c r="B84" s="2" t="n"/>
      <c r="C84" s="484" t="n"/>
      <c r="D84" s="505" t="n"/>
      <c r="E84" s="505" t="n"/>
      <c r="F84" s="46" t="n">
        <v>80</v>
      </c>
      <c r="G84" s="505" t="n"/>
      <c r="H84" s="505" t="n"/>
      <c r="I84" s="505" t="n"/>
      <c r="J84" s="505" t="n"/>
      <c r="K84" s="505" t="n"/>
      <c r="L84" s="505" t="n"/>
      <c r="M84" s="505" t="n"/>
      <c r="N84" s="505" t="n"/>
      <c r="O84" s="505" t="n"/>
      <c r="P84" s="505" t="n"/>
      <c r="Q84" s="505" t="n"/>
      <c r="R84" s="4" t="n"/>
      <c r="S84" s="4" t="n"/>
      <c r="T84" s="4" t="n"/>
      <c r="U84" s="4" t="n"/>
      <c r="V84" s="4" t="n"/>
      <c r="W84" s="4" t="n"/>
      <c r="X84" s="4" t="n"/>
      <c r="Y84" s="476">
        <f>P84+R84+T84+V84+X84</f>
        <v/>
      </c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9" t="n"/>
      <c r="AQ84" s="4" t="n"/>
      <c r="AR84" s="49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506">
        <f>AA84+AC84+AE84+AG84+AI84+AK84+AM84+AO84+AQ84+AS84+AU84+AW84</f>
        <v/>
      </c>
      <c r="BB84" s="507">
        <f>Y84+BA84</f>
        <v/>
      </c>
    </row>
    <row r="85" ht="15.6" customHeight="1">
      <c r="A85" s="168" t="n">
        <v>81</v>
      </c>
      <c r="B85" s="2" t="n"/>
      <c r="C85" s="484" t="n"/>
      <c r="D85" s="505" t="n"/>
      <c r="E85" s="505" t="n"/>
      <c r="F85" s="46" t="n">
        <v>81</v>
      </c>
      <c r="G85" s="505" t="n"/>
      <c r="H85" s="505" t="n"/>
      <c r="I85" s="505" t="n"/>
      <c r="J85" s="505" t="n"/>
      <c r="K85" s="505" t="n"/>
      <c r="L85" s="505" t="n"/>
      <c r="M85" s="505" t="n"/>
      <c r="N85" s="505" t="n"/>
      <c r="O85" s="505" t="n"/>
      <c r="P85" s="505" t="n"/>
      <c r="Q85" s="505" t="n"/>
      <c r="R85" s="4" t="n"/>
      <c r="S85" s="4" t="n"/>
      <c r="T85" s="4" t="n"/>
      <c r="U85" s="4" t="n"/>
      <c r="V85" s="4" t="n"/>
      <c r="W85" s="4" t="n"/>
      <c r="X85" s="4" t="n"/>
      <c r="Y85" s="476">
        <f>P85+R85+T85+V85+X85</f>
        <v/>
      </c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9" t="n"/>
      <c r="AQ85" s="4" t="n"/>
      <c r="AR85" s="49" t="n"/>
      <c r="AS85" s="4" t="n"/>
      <c r="AT85" s="4" t="n"/>
      <c r="AU85" s="4" t="n"/>
      <c r="AV85" s="4" t="n"/>
      <c r="AW85" s="4" t="n"/>
      <c r="AX85" s="4" t="n"/>
      <c r="AY85" s="4" t="n"/>
      <c r="AZ85" s="4" t="n"/>
      <c r="BA85" s="506">
        <f>AA85+AC85+AE85+AG85+AI85+AK85+AM85+AO85+AQ85+AS85+AU85+AW85</f>
        <v/>
      </c>
      <c r="BB85" s="507">
        <f>Y85+BA85</f>
        <v/>
      </c>
    </row>
    <row r="86" ht="15.6" customHeight="1">
      <c r="A86" s="168" t="n">
        <v>82</v>
      </c>
      <c r="B86" s="2" t="n"/>
      <c r="C86" s="484" t="n"/>
      <c r="D86" s="505" t="n"/>
      <c r="E86" s="505" t="n"/>
      <c r="F86" s="46" t="n">
        <v>82</v>
      </c>
      <c r="G86" s="505" t="n"/>
      <c r="H86" s="505" t="n"/>
      <c r="I86" s="505" t="n"/>
      <c r="J86" s="505" t="n"/>
      <c r="K86" s="505" t="n"/>
      <c r="L86" s="505" t="n"/>
      <c r="M86" s="505" t="n"/>
      <c r="N86" s="505" t="n"/>
      <c r="O86" s="505" t="n"/>
      <c r="P86" s="505" t="n"/>
      <c r="Q86" s="505" t="n"/>
      <c r="R86" s="4" t="n"/>
      <c r="S86" s="4" t="n"/>
      <c r="T86" s="4" t="n"/>
      <c r="U86" s="4" t="n"/>
      <c r="V86" s="4" t="n"/>
      <c r="W86" s="4" t="n"/>
      <c r="X86" s="4" t="n"/>
      <c r="Y86" s="476">
        <f>P86+R86+T86+V86+X86</f>
        <v/>
      </c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9" t="n"/>
      <c r="AQ86" s="4" t="n"/>
      <c r="AR86" s="49" t="n"/>
      <c r="AS86" s="4" t="n"/>
      <c r="AT86" s="4" t="n"/>
      <c r="AU86" s="4" t="n"/>
      <c r="AV86" s="4" t="n"/>
      <c r="AW86" s="4" t="n"/>
      <c r="AX86" s="4" t="n"/>
      <c r="AY86" s="4" t="n"/>
      <c r="AZ86" s="4" t="n"/>
      <c r="BA86" s="506">
        <f>AA86+AC86+AE86+AG86+AI86+AK86+AM86+AO86+AQ86+AS86+AU86+AW86</f>
        <v/>
      </c>
      <c r="BB86" s="507">
        <f>Y86+BA86</f>
        <v/>
      </c>
    </row>
    <row r="87" ht="15.6" customHeight="1">
      <c r="A87" s="168" t="n">
        <v>83</v>
      </c>
      <c r="B87" s="2" t="n"/>
      <c r="C87" s="484" t="n"/>
      <c r="D87" s="505" t="n"/>
      <c r="E87" s="505" t="n"/>
      <c r="F87" s="46" t="n">
        <v>83</v>
      </c>
      <c r="G87" s="505" t="n"/>
      <c r="H87" s="505" t="n"/>
      <c r="I87" s="505" t="n"/>
      <c r="J87" s="505" t="n"/>
      <c r="K87" s="505" t="n"/>
      <c r="L87" s="505" t="n"/>
      <c r="M87" s="505" t="n"/>
      <c r="N87" s="505" t="n"/>
      <c r="O87" s="505" t="n"/>
      <c r="P87" s="505" t="n"/>
      <c r="Q87" s="505" t="n"/>
      <c r="R87" s="4" t="n"/>
      <c r="S87" s="4" t="n"/>
      <c r="T87" s="4" t="n"/>
      <c r="U87" s="4" t="n"/>
      <c r="V87" s="4" t="n"/>
      <c r="W87" s="4" t="n"/>
      <c r="X87" s="4" t="n"/>
      <c r="Y87" s="476">
        <f>P87+R87+T87+V87+X87</f>
        <v/>
      </c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9" t="n"/>
      <c r="AQ87" s="4" t="n"/>
      <c r="AR87" s="49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506">
        <f>AA87+AC87+AE87+AG87+AI87+AK87+AM87+AO87+AQ87+AS87+AU87+AW87</f>
        <v/>
      </c>
      <c r="BB87" s="507">
        <f>Y87+BA87</f>
        <v/>
      </c>
    </row>
    <row r="88" ht="15.6" customHeight="1">
      <c r="A88" s="168" t="n">
        <v>84</v>
      </c>
      <c r="B88" s="2" t="n"/>
      <c r="C88" s="484" t="n"/>
      <c r="D88" s="505" t="n"/>
      <c r="E88" s="505" t="n"/>
      <c r="F88" s="46" t="n">
        <v>84</v>
      </c>
      <c r="G88" s="505" t="n"/>
      <c r="H88" s="505" t="n"/>
      <c r="I88" s="505" t="n"/>
      <c r="J88" s="505" t="n"/>
      <c r="K88" s="505" t="n"/>
      <c r="L88" s="505" t="n"/>
      <c r="M88" s="505" t="n"/>
      <c r="N88" s="505" t="n"/>
      <c r="O88" s="505" t="n"/>
      <c r="P88" s="505" t="n"/>
      <c r="Q88" s="505" t="n"/>
      <c r="R88" s="4" t="n"/>
      <c r="S88" s="4" t="n"/>
      <c r="T88" s="4" t="n"/>
      <c r="U88" s="4" t="n"/>
      <c r="V88" s="4" t="n"/>
      <c r="W88" s="4" t="n"/>
      <c r="X88" s="4" t="n"/>
      <c r="Y88" s="476">
        <f>P88+R88+T88+V88+X88</f>
        <v/>
      </c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9" t="n"/>
      <c r="AQ88" s="4" t="n"/>
      <c r="AR88" s="49" t="n"/>
      <c r="AS88" s="4" t="n"/>
      <c r="AT88" s="4" t="n"/>
      <c r="AU88" s="4" t="n"/>
      <c r="AV88" s="4" t="n"/>
      <c r="AW88" s="4" t="n"/>
      <c r="AX88" s="4" t="n"/>
      <c r="AY88" s="4" t="n"/>
      <c r="AZ88" s="4" t="n"/>
      <c r="BA88" s="506">
        <f>AA88+AC88+AE88+AG88+AI88+AK88+AM88+AO88+AQ88+AS88+AU88+AW88</f>
        <v/>
      </c>
      <c r="BB88" s="507">
        <f>Y88+BA88</f>
        <v/>
      </c>
    </row>
    <row r="89" ht="15.6" customHeight="1">
      <c r="A89" s="168" t="n">
        <v>85</v>
      </c>
      <c r="B89" s="2" t="n"/>
      <c r="C89" s="484" t="n"/>
      <c r="D89" s="505" t="n"/>
      <c r="E89" s="505" t="n"/>
      <c r="F89" s="46" t="n">
        <v>85</v>
      </c>
      <c r="G89" s="505" t="n"/>
      <c r="H89" s="505" t="n"/>
      <c r="I89" s="505" t="n"/>
      <c r="J89" s="505" t="n"/>
      <c r="K89" s="505" t="n"/>
      <c r="L89" s="505" t="n"/>
      <c r="M89" s="505" t="n"/>
      <c r="N89" s="505" t="n"/>
      <c r="O89" s="505" t="n"/>
      <c r="P89" s="505" t="n"/>
      <c r="Q89" s="505" t="n"/>
      <c r="R89" s="4" t="n"/>
      <c r="S89" s="4" t="n"/>
      <c r="T89" s="4" t="n"/>
      <c r="U89" s="4" t="n"/>
      <c r="V89" s="4" t="n"/>
      <c r="W89" s="4" t="n"/>
      <c r="X89" s="4" t="n"/>
      <c r="Y89" s="476">
        <f>P89+R89+T89+V89+X89</f>
        <v/>
      </c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9" t="n"/>
      <c r="AQ89" s="4" t="n"/>
      <c r="AR89" s="49" t="n"/>
      <c r="AS89" s="4" t="n"/>
      <c r="AT89" s="4" t="n"/>
      <c r="AU89" s="4" t="n"/>
      <c r="AV89" s="4" t="n"/>
      <c r="AW89" s="4" t="n"/>
      <c r="AX89" s="4" t="n"/>
      <c r="AY89" s="4" t="n"/>
      <c r="AZ89" s="4" t="n"/>
      <c r="BA89" s="506">
        <f>AA89+AC89+AE89+AG89+AI89+AK89+AM89+AO89+AQ89+AS89+AU89+AW89</f>
        <v/>
      </c>
      <c r="BB89" s="507">
        <f>Y89+BA89</f>
        <v/>
      </c>
    </row>
    <row r="90" ht="15.6" customHeight="1">
      <c r="A90" s="168" t="n">
        <v>86</v>
      </c>
      <c r="B90" s="2" t="n"/>
      <c r="C90" s="484" t="n"/>
      <c r="D90" s="505" t="n"/>
      <c r="E90" s="505" t="n"/>
      <c r="F90" s="46" t="n">
        <v>86</v>
      </c>
      <c r="G90" s="505" t="n"/>
      <c r="H90" s="505" t="n"/>
      <c r="I90" s="505" t="n"/>
      <c r="J90" s="505" t="n"/>
      <c r="K90" s="505" t="n"/>
      <c r="L90" s="505" t="n"/>
      <c r="M90" s="505" t="n"/>
      <c r="N90" s="505" t="n"/>
      <c r="O90" s="505" t="n"/>
      <c r="P90" s="505" t="n"/>
      <c r="Q90" s="505" t="n"/>
      <c r="R90" s="4" t="n"/>
      <c r="S90" s="4" t="n"/>
      <c r="T90" s="4" t="n"/>
      <c r="U90" s="4" t="n"/>
      <c r="V90" s="4" t="n"/>
      <c r="W90" s="4" t="n"/>
      <c r="X90" s="4" t="n"/>
      <c r="Y90" s="476">
        <f>P90+R90+T90+V90+X90</f>
        <v/>
      </c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9" t="n"/>
      <c r="AQ90" s="4" t="n"/>
      <c r="AR90" s="49" t="n"/>
      <c r="AS90" s="4" t="n"/>
      <c r="AT90" s="4" t="n"/>
      <c r="AU90" s="4" t="n"/>
      <c r="AV90" s="4" t="n"/>
      <c r="AW90" s="4" t="n"/>
      <c r="AX90" s="4" t="n"/>
      <c r="AY90" s="4" t="n"/>
      <c r="AZ90" s="4" t="n"/>
      <c r="BA90" s="506">
        <f>AA90+AC90+AE90+AG90+AI90+AK90+AM90+AO90+AQ90+AS90+AU90+AW90</f>
        <v/>
      </c>
      <c r="BB90" s="507">
        <f>Y90+BA90</f>
        <v/>
      </c>
    </row>
    <row r="91" ht="15.6" customHeight="1">
      <c r="A91" s="168" t="n">
        <v>87</v>
      </c>
      <c r="B91" s="2" t="n"/>
      <c r="C91" s="484" t="n"/>
      <c r="D91" s="505" t="n"/>
      <c r="E91" s="505" t="n"/>
      <c r="F91" s="46" t="n">
        <v>87</v>
      </c>
      <c r="G91" s="505" t="n"/>
      <c r="H91" s="505" t="n"/>
      <c r="I91" s="505" t="n"/>
      <c r="J91" s="505" t="n"/>
      <c r="K91" s="505" t="n"/>
      <c r="L91" s="505" t="n"/>
      <c r="M91" s="505" t="n"/>
      <c r="N91" s="505" t="n"/>
      <c r="O91" s="505" t="n"/>
      <c r="P91" s="505" t="n"/>
      <c r="Q91" s="505" t="n"/>
      <c r="R91" s="4" t="n"/>
      <c r="S91" s="4" t="n"/>
      <c r="T91" s="4" t="n"/>
      <c r="U91" s="4" t="n"/>
      <c r="V91" s="4" t="n"/>
      <c r="W91" s="4" t="n"/>
      <c r="X91" s="4" t="n"/>
      <c r="Y91" s="476">
        <f>P91+R91+T91+V91+X91</f>
        <v/>
      </c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9" t="n"/>
      <c r="AQ91" s="4" t="n"/>
      <c r="AR91" s="49" t="n"/>
      <c r="AS91" s="4" t="n"/>
      <c r="AT91" s="4" t="n"/>
      <c r="AU91" s="4" t="n"/>
      <c r="AV91" s="4" t="n"/>
      <c r="AW91" s="4" t="n"/>
      <c r="AX91" s="4" t="n"/>
      <c r="AY91" s="4" t="n"/>
      <c r="AZ91" s="4" t="n"/>
      <c r="BA91" s="506">
        <f>AA91+AC91+AE91+AG91+AI91+AK91+AM91+AO91+AQ91+AS91+AU91+AW91</f>
        <v/>
      </c>
      <c r="BB91" s="507">
        <f>Y91+BA91</f>
        <v/>
      </c>
    </row>
    <row r="92" ht="15.6" customHeight="1">
      <c r="A92" s="168" t="n">
        <v>88</v>
      </c>
      <c r="B92" s="2" t="n"/>
      <c r="C92" s="484" t="n"/>
      <c r="D92" s="505" t="n"/>
      <c r="E92" s="505" t="n"/>
      <c r="F92" s="46" t="n">
        <v>88</v>
      </c>
      <c r="G92" s="505" t="n"/>
      <c r="H92" s="505" t="n"/>
      <c r="I92" s="505" t="n"/>
      <c r="J92" s="505" t="n"/>
      <c r="K92" s="505" t="n"/>
      <c r="L92" s="505" t="n"/>
      <c r="M92" s="505" t="n"/>
      <c r="N92" s="505" t="n"/>
      <c r="O92" s="505" t="n"/>
      <c r="P92" s="505" t="n"/>
      <c r="Q92" s="505" t="n"/>
      <c r="R92" s="4" t="n"/>
      <c r="S92" s="4" t="n"/>
      <c r="T92" s="4" t="n"/>
      <c r="U92" s="4" t="n"/>
      <c r="V92" s="4" t="n"/>
      <c r="W92" s="4" t="n"/>
      <c r="X92" s="4" t="n"/>
      <c r="Y92" s="476">
        <f>P92+R92+T92+V92+X92</f>
        <v/>
      </c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9" t="n"/>
      <c r="AQ92" s="4" t="n"/>
      <c r="AR92" s="49" t="n"/>
      <c r="AS92" s="4" t="n"/>
      <c r="AT92" s="4" t="n"/>
      <c r="AU92" s="4" t="n"/>
      <c r="AV92" s="4" t="n"/>
      <c r="AW92" s="4" t="n"/>
      <c r="AX92" s="4" t="n"/>
      <c r="AY92" s="4" t="n"/>
      <c r="AZ92" s="4" t="n"/>
      <c r="BA92" s="506">
        <f>AA92+AC92+AE92+AG92+AI92+AK92+AM92+AO92+AQ92+AS92+AU92+AW92</f>
        <v/>
      </c>
      <c r="BB92" s="507">
        <f>Y92+BA92</f>
        <v/>
      </c>
    </row>
    <row r="93" ht="15.6" customHeight="1">
      <c r="A93" s="168" t="n">
        <v>89</v>
      </c>
      <c r="B93" s="2" t="n"/>
      <c r="C93" s="484" t="n"/>
      <c r="D93" s="505" t="n"/>
      <c r="E93" s="505" t="n"/>
      <c r="F93" s="46" t="n">
        <v>89</v>
      </c>
      <c r="G93" s="505" t="n"/>
      <c r="H93" s="505" t="n"/>
      <c r="I93" s="505" t="n"/>
      <c r="J93" s="505" t="n"/>
      <c r="K93" s="505" t="n"/>
      <c r="L93" s="505" t="n"/>
      <c r="M93" s="505" t="n"/>
      <c r="N93" s="505" t="n"/>
      <c r="O93" s="505" t="n"/>
      <c r="P93" s="505" t="n"/>
      <c r="Q93" s="505" t="n"/>
      <c r="R93" s="4" t="n"/>
      <c r="S93" s="4" t="n"/>
      <c r="T93" s="4" t="n"/>
      <c r="U93" s="4" t="n"/>
      <c r="V93" s="4" t="n"/>
      <c r="W93" s="4" t="n"/>
      <c r="X93" s="4" t="n"/>
      <c r="Y93" s="476">
        <f>P93+R93+T93+V93+X93</f>
        <v/>
      </c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9" t="n"/>
      <c r="AQ93" s="4" t="n"/>
      <c r="AR93" s="49" t="n"/>
      <c r="AS93" s="4" t="n"/>
      <c r="AT93" s="4" t="n"/>
      <c r="AU93" s="4" t="n"/>
      <c r="AV93" s="4" t="n"/>
      <c r="AW93" s="4" t="n"/>
      <c r="AX93" s="4" t="n"/>
      <c r="AY93" s="4" t="n"/>
      <c r="AZ93" s="4" t="n"/>
      <c r="BA93" s="506">
        <f>AA93+AC93+AE93+AG93+AI93+AK93+AM93+AO93+AQ93+AS93+AU93+AW93</f>
        <v/>
      </c>
      <c r="BB93" s="507">
        <f>Y93+BA93</f>
        <v/>
      </c>
    </row>
    <row r="94" ht="15.6" customHeight="1">
      <c r="A94" s="168" t="n">
        <v>90</v>
      </c>
      <c r="B94" s="2" t="n"/>
      <c r="C94" s="484" t="n"/>
      <c r="D94" s="505" t="n"/>
      <c r="E94" s="505" t="n"/>
      <c r="F94" s="46" t="n">
        <v>90</v>
      </c>
      <c r="G94" s="505" t="n"/>
      <c r="H94" s="505" t="n"/>
      <c r="I94" s="505" t="n"/>
      <c r="J94" s="505" t="n"/>
      <c r="K94" s="505" t="n"/>
      <c r="L94" s="505" t="n"/>
      <c r="M94" s="505" t="n"/>
      <c r="N94" s="505" t="n"/>
      <c r="O94" s="505" t="n"/>
      <c r="P94" s="505" t="n"/>
      <c r="Q94" s="505" t="n"/>
      <c r="R94" s="4" t="n"/>
      <c r="S94" s="4" t="n"/>
      <c r="T94" s="4" t="n"/>
      <c r="U94" s="4" t="n"/>
      <c r="V94" s="4" t="n"/>
      <c r="W94" s="4" t="n"/>
      <c r="X94" s="4" t="n"/>
      <c r="Y94" s="476">
        <f>P94+R94+T94+V94+X94</f>
        <v/>
      </c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9" t="n"/>
      <c r="AQ94" s="4" t="n"/>
      <c r="AR94" s="49" t="n"/>
      <c r="AS94" s="4" t="n"/>
      <c r="AT94" s="4" t="n"/>
      <c r="AU94" s="4" t="n"/>
      <c r="AV94" s="4" t="n"/>
      <c r="AW94" s="4" t="n"/>
      <c r="AX94" s="4" t="n"/>
      <c r="AY94" s="4" t="n"/>
      <c r="AZ94" s="4" t="n"/>
      <c r="BA94" s="506">
        <f>AA94+AC94+AE94+AG94+AI94+AK94+AM94+AO94+AQ94+AS94+AU94+AW94</f>
        <v/>
      </c>
      <c r="BB94" s="507">
        <f>Y94+BA94</f>
        <v/>
      </c>
    </row>
    <row r="95" ht="15.6" customHeight="1">
      <c r="A95" s="168" t="n">
        <v>91</v>
      </c>
      <c r="B95" s="2" t="n"/>
      <c r="C95" s="484" t="n"/>
      <c r="D95" s="505" t="n"/>
      <c r="E95" s="505" t="n"/>
      <c r="F95" s="46" t="n">
        <v>91</v>
      </c>
      <c r="G95" s="505" t="n"/>
      <c r="H95" s="505" t="n"/>
      <c r="I95" s="505" t="n"/>
      <c r="J95" s="505" t="n"/>
      <c r="K95" s="505" t="n"/>
      <c r="L95" s="505" t="n"/>
      <c r="M95" s="505" t="n"/>
      <c r="N95" s="505" t="n"/>
      <c r="O95" s="505" t="n"/>
      <c r="P95" s="505" t="n"/>
      <c r="Q95" s="505" t="n"/>
      <c r="R95" s="4" t="n"/>
      <c r="S95" s="4" t="n"/>
      <c r="T95" s="4" t="n"/>
      <c r="U95" s="4" t="n"/>
      <c r="V95" s="4" t="n"/>
      <c r="W95" s="4" t="n"/>
      <c r="X95" s="4" t="n"/>
      <c r="Y95" s="476">
        <f>P95+R95+T95+V95+X95</f>
        <v/>
      </c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9" t="n"/>
      <c r="AQ95" s="4" t="n"/>
      <c r="AR95" s="49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506">
        <f>AA95+AC95+AE95+AG95+AI95+AK95+AM95+AO95+AQ95+AS95+AU95+AW95</f>
        <v/>
      </c>
      <c r="BB95" s="507">
        <f>Y95+BA95</f>
        <v/>
      </c>
    </row>
    <row r="96" ht="15.6" customHeight="1">
      <c r="A96" s="168" t="n">
        <v>92</v>
      </c>
      <c r="B96" s="2" t="n"/>
      <c r="C96" s="484" t="n"/>
      <c r="D96" s="505" t="n"/>
      <c r="E96" s="505" t="n"/>
      <c r="F96" s="46" t="n">
        <v>92</v>
      </c>
      <c r="G96" s="505" t="n"/>
      <c r="H96" s="505" t="n"/>
      <c r="I96" s="505" t="n"/>
      <c r="J96" s="505" t="n"/>
      <c r="K96" s="505" t="n"/>
      <c r="L96" s="505" t="n"/>
      <c r="M96" s="505" t="n"/>
      <c r="N96" s="505" t="n"/>
      <c r="O96" s="505" t="n"/>
      <c r="P96" s="505" t="n"/>
      <c r="Q96" s="505" t="n"/>
      <c r="R96" s="4" t="n"/>
      <c r="S96" s="4" t="n"/>
      <c r="T96" s="4" t="n"/>
      <c r="U96" s="4" t="n"/>
      <c r="V96" s="4" t="n"/>
      <c r="W96" s="4" t="n"/>
      <c r="X96" s="4" t="n"/>
      <c r="Y96" s="476">
        <f>P96+R96+T96+V96+X96</f>
        <v/>
      </c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9" t="n"/>
      <c r="AQ96" s="4" t="n"/>
      <c r="AR96" s="49" t="n"/>
      <c r="AS96" s="4" t="n"/>
      <c r="AT96" s="4" t="n"/>
      <c r="AU96" s="4" t="n"/>
      <c r="AV96" s="4" t="n"/>
      <c r="AW96" s="4" t="n"/>
      <c r="AX96" s="4" t="n"/>
      <c r="AY96" s="4" t="n"/>
      <c r="AZ96" s="4" t="n"/>
      <c r="BA96" s="506">
        <f>AA96+AC96+AE96+AG96+AI96+AK96+AM96+AO96+AQ96+AS96+AU96+AW96</f>
        <v/>
      </c>
      <c r="BB96" s="507">
        <f>Y96+BA96</f>
        <v/>
      </c>
    </row>
    <row r="97" ht="15.6" customHeight="1">
      <c r="A97" s="168" t="n">
        <v>93</v>
      </c>
      <c r="B97" s="2" t="n"/>
      <c r="C97" s="484" t="n"/>
      <c r="D97" s="505" t="n"/>
      <c r="E97" s="505" t="n"/>
      <c r="F97" s="46" t="n">
        <v>93</v>
      </c>
      <c r="G97" s="505" t="n"/>
      <c r="H97" s="505" t="n"/>
      <c r="I97" s="505" t="n"/>
      <c r="J97" s="505" t="n"/>
      <c r="K97" s="505" t="n"/>
      <c r="L97" s="505" t="n"/>
      <c r="M97" s="505" t="n"/>
      <c r="N97" s="505" t="n"/>
      <c r="O97" s="505" t="n"/>
      <c r="P97" s="505" t="n"/>
      <c r="Q97" s="505" t="n"/>
      <c r="R97" s="4" t="n"/>
      <c r="S97" s="4" t="n"/>
      <c r="T97" s="4" t="n"/>
      <c r="U97" s="4" t="n"/>
      <c r="V97" s="4" t="n"/>
      <c r="W97" s="4" t="n"/>
      <c r="X97" s="4" t="n"/>
      <c r="Y97" s="476">
        <f>P97+R97+T97+V97+X97</f>
        <v/>
      </c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9" t="n"/>
      <c r="AQ97" s="4" t="n"/>
      <c r="AR97" s="49" t="n"/>
      <c r="AS97" s="4" t="n"/>
      <c r="AT97" s="4" t="n"/>
      <c r="AU97" s="4" t="n"/>
      <c r="AV97" s="4" t="n"/>
      <c r="AW97" s="4" t="n"/>
      <c r="AX97" s="4" t="n"/>
      <c r="AY97" s="4" t="n"/>
      <c r="AZ97" s="4" t="n"/>
      <c r="BA97" s="27" t="n"/>
      <c r="BB97" s="512" t="n"/>
    </row>
    <row r="98" ht="15.6" customHeight="1">
      <c r="A98" s="168" t="n">
        <v>94</v>
      </c>
      <c r="B98" s="2" t="n"/>
      <c r="C98" s="484" t="n"/>
      <c r="D98" s="505" t="n"/>
      <c r="E98" s="505" t="n"/>
      <c r="F98" s="46" t="n">
        <v>94</v>
      </c>
      <c r="G98" s="505" t="n"/>
      <c r="H98" s="505" t="n"/>
      <c r="I98" s="505" t="n"/>
      <c r="J98" s="505" t="n"/>
      <c r="K98" s="505" t="n"/>
      <c r="L98" s="505" t="n"/>
      <c r="M98" s="505" t="n"/>
      <c r="N98" s="505" t="n"/>
      <c r="O98" s="505" t="n"/>
      <c r="P98" s="505" t="n"/>
      <c r="Q98" s="505" t="n"/>
      <c r="R98" s="4" t="n"/>
      <c r="S98" s="4" t="n"/>
      <c r="T98" s="4" t="n"/>
      <c r="U98" s="4" t="n"/>
      <c r="V98" s="4" t="n"/>
      <c r="W98" s="4" t="n"/>
      <c r="X98" s="4" t="n"/>
      <c r="Y98" s="476">
        <f>P98+R98+T98+V98+X98</f>
        <v/>
      </c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9" t="n"/>
      <c r="AQ98" s="4" t="n"/>
      <c r="AR98" s="49" t="n"/>
      <c r="AS98" s="4" t="n"/>
      <c r="AT98" s="4" t="n"/>
      <c r="AU98" s="4" t="n"/>
      <c r="AV98" s="4" t="n"/>
      <c r="AW98" s="4" t="n"/>
      <c r="AX98" s="4" t="n"/>
      <c r="AY98" s="4" t="n"/>
      <c r="AZ98" s="4" t="n"/>
      <c r="BA98" s="27" t="n"/>
      <c r="BB98" s="512" t="n"/>
    </row>
    <row r="99" ht="15.6" customHeight="1">
      <c r="A99" s="168" t="n">
        <v>95</v>
      </c>
      <c r="B99" s="2" t="n"/>
      <c r="C99" s="484" t="n"/>
      <c r="D99" s="505" t="n"/>
      <c r="E99" s="505" t="n"/>
      <c r="F99" s="46" t="n">
        <v>95</v>
      </c>
      <c r="G99" s="505" t="n"/>
      <c r="H99" s="505" t="n"/>
      <c r="I99" s="505" t="n"/>
      <c r="J99" s="505" t="n"/>
      <c r="K99" s="505" t="n"/>
      <c r="L99" s="505" t="n"/>
      <c r="M99" s="505" t="n"/>
      <c r="N99" s="505" t="n"/>
      <c r="O99" s="505" t="n"/>
      <c r="P99" s="505" t="n"/>
      <c r="Q99" s="505" t="n"/>
      <c r="R99" s="4" t="n"/>
      <c r="S99" s="4" t="n"/>
      <c r="T99" s="4" t="n"/>
      <c r="U99" s="4" t="n"/>
      <c r="V99" s="4" t="n"/>
      <c r="W99" s="4" t="n"/>
      <c r="X99" s="4" t="n"/>
      <c r="Y99" s="476">
        <f>P99+R99+T99+V99+X99</f>
        <v/>
      </c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9" t="n"/>
      <c r="AQ99" s="4" t="n"/>
      <c r="AR99" s="49" t="n"/>
      <c r="AS99" s="4" t="n"/>
      <c r="AT99" s="4" t="n"/>
      <c r="AU99" s="4" t="n"/>
      <c r="AV99" s="4" t="n"/>
      <c r="AW99" s="4" t="n"/>
      <c r="AX99" s="4" t="n"/>
      <c r="AY99" s="4" t="n"/>
      <c r="AZ99" s="4" t="n"/>
      <c r="BA99" s="27" t="n"/>
      <c r="BB99" s="512" t="n"/>
    </row>
    <row r="100" ht="15.6" customHeight="1">
      <c r="A100" s="168" t="n">
        <v>96</v>
      </c>
      <c r="B100" s="2" t="n"/>
      <c r="C100" s="484" t="n"/>
      <c r="D100" s="505" t="n"/>
      <c r="E100" s="505" t="n"/>
      <c r="F100" s="46" t="n">
        <v>96</v>
      </c>
      <c r="G100" s="505" t="n"/>
      <c r="H100" s="505" t="n"/>
      <c r="I100" s="505" t="n"/>
      <c r="J100" s="505" t="n"/>
      <c r="K100" s="505" t="n"/>
      <c r="L100" s="505" t="n"/>
      <c r="M100" s="505" t="n"/>
      <c r="N100" s="505" t="n"/>
      <c r="O100" s="505" t="n"/>
      <c r="P100" s="505" t="n"/>
      <c r="Q100" s="505" t="n"/>
      <c r="R100" s="4" t="n"/>
      <c r="S100" s="4" t="n"/>
      <c r="T100" s="4" t="n"/>
      <c r="U100" s="4" t="n"/>
      <c r="V100" s="4" t="n"/>
      <c r="W100" s="4" t="n"/>
      <c r="X100" s="4" t="n"/>
      <c r="Y100" s="476">
        <f>P100+R100+T100+V100+X100</f>
        <v/>
      </c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9" t="n"/>
      <c r="AQ100" s="4" t="n"/>
      <c r="AR100" s="49" t="n"/>
      <c r="AS100" s="4" t="n"/>
      <c r="AT100" s="4" t="n"/>
      <c r="AU100" s="4" t="n"/>
      <c r="AV100" s="4" t="n"/>
      <c r="AW100" s="4" t="n"/>
      <c r="AX100" s="4" t="n"/>
      <c r="AY100" s="4" t="n"/>
      <c r="AZ100" s="4" t="n"/>
      <c r="BA100" s="27" t="n"/>
      <c r="BB100" s="512" t="n"/>
    </row>
    <row r="101" ht="15.6" customHeight="1">
      <c r="A101" s="168" t="n">
        <v>97</v>
      </c>
      <c r="B101" s="2" t="n"/>
      <c r="C101" s="484" t="n"/>
      <c r="D101" s="505" t="n"/>
      <c r="E101" s="505" t="n"/>
      <c r="F101" s="46" t="n">
        <v>97</v>
      </c>
      <c r="G101" s="505" t="n"/>
      <c r="H101" s="505" t="n"/>
      <c r="I101" s="505" t="n"/>
      <c r="J101" s="505" t="n"/>
      <c r="K101" s="505" t="n"/>
      <c r="L101" s="505" t="n"/>
      <c r="M101" s="505" t="n"/>
      <c r="N101" s="505" t="n"/>
      <c r="O101" s="505" t="n"/>
      <c r="P101" s="505" t="n"/>
      <c r="Q101" s="505" t="n"/>
      <c r="R101" s="4" t="n"/>
      <c r="S101" s="4" t="n"/>
      <c r="T101" s="4" t="n"/>
      <c r="U101" s="4" t="n"/>
      <c r="V101" s="4" t="n"/>
      <c r="W101" s="4" t="n"/>
      <c r="X101" s="4" t="n"/>
      <c r="Y101" s="476">
        <f>P101+R101+T101+V101+X101</f>
        <v/>
      </c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9" t="n"/>
      <c r="AQ101" s="4" t="n"/>
      <c r="AR101" s="49" t="n"/>
      <c r="AS101" s="4" t="n"/>
      <c r="AT101" s="4" t="n"/>
      <c r="AU101" s="4" t="n"/>
      <c r="AV101" s="4" t="n"/>
      <c r="AW101" s="4" t="n"/>
      <c r="AX101" s="4" t="n"/>
      <c r="AY101" s="4" t="n"/>
      <c r="AZ101" s="4" t="n"/>
      <c r="BA101" s="27" t="n"/>
      <c r="BB101" s="512" t="n"/>
    </row>
    <row r="102" ht="15.6" customHeight="1">
      <c r="A102" s="168" t="n">
        <v>98</v>
      </c>
      <c r="B102" s="2" t="n"/>
      <c r="C102" s="484" t="n"/>
      <c r="D102" s="505" t="n"/>
      <c r="E102" s="505" t="n"/>
      <c r="F102" s="46" t="n">
        <v>98</v>
      </c>
      <c r="G102" s="505" t="n"/>
      <c r="H102" s="505" t="n"/>
      <c r="I102" s="505" t="n"/>
      <c r="J102" s="505" t="n"/>
      <c r="K102" s="505" t="n"/>
      <c r="L102" s="505" t="n"/>
      <c r="M102" s="505" t="n"/>
      <c r="N102" s="505" t="n"/>
      <c r="O102" s="505" t="n"/>
      <c r="P102" s="505" t="n"/>
      <c r="Q102" s="505" t="n"/>
      <c r="R102" s="4" t="n"/>
      <c r="S102" s="4" t="n"/>
      <c r="T102" s="4" t="n"/>
      <c r="U102" s="4" t="n"/>
      <c r="V102" s="4" t="n"/>
      <c r="W102" s="4" t="n"/>
      <c r="X102" s="4" t="n"/>
      <c r="Y102" s="476">
        <f>P102+R102+T102+V102+X102</f>
        <v/>
      </c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9" t="n"/>
      <c r="AQ102" s="4" t="n"/>
      <c r="AR102" s="49" t="n"/>
      <c r="AS102" s="4" t="n"/>
      <c r="AT102" s="4" t="n"/>
      <c r="AU102" s="4" t="n"/>
      <c r="AV102" s="4" t="n"/>
      <c r="AW102" s="4" t="n"/>
      <c r="AX102" s="4" t="n"/>
      <c r="AY102" s="4" t="n"/>
      <c r="AZ102" s="4" t="n"/>
      <c r="BA102" s="27" t="n"/>
      <c r="BB102" s="512" t="n"/>
    </row>
    <row r="103" ht="15.6" customHeight="1">
      <c r="A103" s="168" t="n">
        <v>99</v>
      </c>
      <c r="B103" s="2" t="n"/>
      <c r="C103" s="484" t="n"/>
      <c r="D103" s="505" t="n"/>
      <c r="E103" s="505" t="n"/>
      <c r="F103" s="46" t="n">
        <v>99</v>
      </c>
      <c r="G103" s="505" t="n"/>
      <c r="H103" s="505" t="n"/>
      <c r="I103" s="505" t="n"/>
      <c r="J103" s="505" t="n"/>
      <c r="K103" s="505" t="n"/>
      <c r="L103" s="505" t="n"/>
      <c r="M103" s="505" t="n"/>
      <c r="N103" s="505" t="n"/>
      <c r="O103" s="505" t="n"/>
      <c r="P103" s="505" t="n"/>
      <c r="Q103" s="505" t="n"/>
      <c r="R103" s="4" t="n"/>
      <c r="S103" s="4" t="n"/>
      <c r="T103" s="4" t="n"/>
      <c r="U103" s="4" t="n"/>
      <c r="V103" s="4" t="n"/>
      <c r="W103" s="4" t="n"/>
      <c r="X103" s="4" t="n"/>
      <c r="Y103" s="476">
        <f>P103+R103+T103+V103+X103</f>
        <v/>
      </c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9" t="n"/>
      <c r="AQ103" s="4" t="n"/>
      <c r="AR103" s="49" t="n"/>
      <c r="AS103" s="4" t="n"/>
      <c r="AT103" s="4" t="n"/>
      <c r="AU103" s="4" t="n"/>
      <c r="AV103" s="4" t="n"/>
      <c r="AW103" s="4" t="n"/>
      <c r="AX103" s="4" t="n"/>
      <c r="AY103" s="4" t="n"/>
      <c r="AZ103" s="4" t="n"/>
      <c r="BA103" s="27" t="n"/>
      <c r="BB103" s="512" t="n"/>
    </row>
    <row r="104" ht="15.6" customHeight="1">
      <c r="A104" s="168" t="n">
        <v>100</v>
      </c>
      <c r="B104" s="2" t="n"/>
      <c r="C104" s="484" t="n"/>
      <c r="D104" s="505" t="n"/>
      <c r="E104" s="505" t="n"/>
      <c r="F104" s="46" t="n">
        <v>100</v>
      </c>
      <c r="G104" s="505" t="n"/>
      <c r="H104" s="505" t="n"/>
      <c r="I104" s="505" t="n"/>
      <c r="J104" s="505" t="n"/>
      <c r="K104" s="505" t="n"/>
      <c r="L104" s="505" t="n"/>
      <c r="M104" s="505" t="n"/>
      <c r="N104" s="505" t="n"/>
      <c r="O104" s="505" t="n"/>
      <c r="P104" s="505" t="n"/>
      <c r="Q104" s="505" t="n"/>
      <c r="R104" s="4" t="n"/>
      <c r="S104" s="4" t="n"/>
      <c r="T104" s="4" t="n"/>
      <c r="U104" s="4" t="n"/>
      <c r="V104" s="4" t="n"/>
      <c r="W104" s="4" t="n"/>
      <c r="X104" s="4" t="n"/>
      <c r="Y104" s="476">
        <f>P104+R104+T104+V104+X104</f>
        <v/>
      </c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9" t="n"/>
      <c r="AQ104" s="4" t="n"/>
      <c r="AR104" s="49" t="n"/>
      <c r="AS104" s="4" t="n"/>
      <c r="AT104" s="4" t="n"/>
      <c r="AU104" s="4" t="n"/>
      <c r="AV104" s="4" t="n"/>
      <c r="AW104" s="4" t="n"/>
      <c r="AX104" s="4" t="n"/>
      <c r="AY104" s="4" t="n"/>
      <c r="AZ104" s="4" t="n"/>
      <c r="BA104" s="27" t="n"/>
      <c r="BB104" s="512" t="n"/>
    </row>
    <row r="105" ht="15.6" customHeight="1">
      <c r="B105" s="2" t="n"/>
      <c r="C105" s="484" t="n"/>
      <c r="D105" s="505" t="n"/>
      <c r="E105" s="505" t="n"/>
      <c r="F105" s="46" t="n"/>
      <c r="G105" s="505" t="n"/>
      <c r="H105" s="505" t="n"/>
      <c r="I105" s="505" t="n"/>
      <c r="J105" s="505" t="n"/>
      <c r="K105" s="505" t="n"/>
      <c r="L105" s="505" t="n"/>
      <c r="M105" s="505" t="n"/>
      <c r="N105" s="505" t="n"/>
      <c r="O105" s="505" t="n"/>
      <c r="P105" s="505" t="n"/>
      <c r="Q105" s="505" t="n"/>
      <c r="R105" s="4" t="n"/>
      <c r="S105" s="4" t="n"/>
      <c r="T105" s="4" t="n"/>
      <c r="U105" s="4" t="n"/>
      <c r="V105" s="4" t="n"/>
      <c r="W105" s="4" t="n"/>
      <c r="X105" s="4" t="n"/>
      <c r="Y105" s="476">
        <f>P105+R105+T105+V105+X105</f>
        <v/>
      </c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9" t="n"/>
      <c r="AQ105" s="4" t="n"/>
      <c r="AR105" s="49" t="n"/>
      <c r="AS105" s="4" t="n"/>
      <c r="AT105" s="4" t="n"/>
      <c r="AU105" s="4" t="n"/>
      <c r="AV105" s="4" t="n"/>
      <c r="AW105" s="4" t="n"/>
      <c r="AX105" s="4" t="n"/>
      <c r="AY105" s="4" t="n"/>
      <c r="AZ105" s="4" t="n"/>
      <c r="BA105" s="27" t="n"/>
      <c r="BB105" s="512" t="n"/>
    </row>
    <row r="106" ht="15.6" customHeight="1">
      <c r="B106" s="2" t="n"/>
      <c r="C106" s="484" t="n"/>
      <c r="D106" s="505" t="n"/>
      <c r="E106" s="505" t="n"/>
      <c r="F106" s="46" t="n"/>
      <c r="G106" s="505" t="n"/>
      <c r="H106" s="505" t="n"/>
      <c r="I106" s="505" t="n"/>
      <c r="J106" s="505" t="n"/>
      <c r="K106" s="505" t="n"/>
      <c r="L106" s="505" t="n"/>
      <c r="M106" s="505" t="n"/>
      <c r="N106" s="505" t="n"/>
      <c r="O106" s="505" t="n"/>
      <c r="P106" s="505" t="n"/>
      <c r="Q106" s="505" t="n"/>
      <c r="R106" s="4" t="n"/>
      <c r="S106" s="4" t="n"/>
      <c r="T106" s="4" t="n"/>
      <c r="U106" s="4" t="n"/>
      <c r="V106" s="4" t="n"/>
      <c r="W106" s="4" t="n"/>
      <c r="X106" s="4" t="n"/>
      <c r="Y106" s="476">
        <f>P106+R106+T106+V106+X106</f>
        <v/>
      </c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9" t="n"/>
      <c r="AQ106" s="4" t="n"/>
      <c r="AR106" s="49" t="n"/>
      <c r="AS106" s="4" t="n"/>
      <c r="AT106" s="4" t="n"/>
      <c r="AU106" s="4" t="n"/>
      <c r="AV106" s="4" t="n"/>
      <c r="AW106" s="4" t="n"/>
      <c r="AX106" s="4" t="n"/>
      <c r="AY106" s="4" t="n"/>
      <c r="AZ106" s="4" t="n"/>
      <c r="BA106" s="27" t="n"/>
      <c r="BB106" s="512" t="n"/>
    </row>
    <row r="107" ht="15.6" customHeight="1">
      <c r="B107" s="2" t="n"/>
      <c r="C107" s="484" t="n"/>
      <c r="D107" s="505" t="n"/>
      <c r="E107" s="505" t="n"/>
      <c r="F107" s="46" t="n"/>
      <c r="G107" s="505" t="n"/>
      <c r="H107" s="505" t="n"/>
      <c r="I107" s="505" t="n"/>
      <c r="J107" s="505" t="n"/>
      <c r="K107" s="505" t="n"/>
      <c r="L107" s="505" t="n"/>
      <c r="M107" s="505" t="n"/>
      <c r="N107" s="505" t="n"/>
      <c r="O107" s="505" t="n"/>
      <c r="P107" s="505" t="n"/>
      <c r="Q107" s="505" t="n"/>
      <c r="R107" s="4" t="n"/>
      <c r="S107" s="4" t="n"/>
      <c r="T107" s="4" t="n"/>
      <c r="U107" s="4" t="n"/>
      <c r="V107" s="4" t="n"/>
      <c r="W107" s="4" t="n"/>
      <c r="X107" s="4" t="n"/>
      <c r="Y107" s="476">
        <f>P107+R107+T107+V107+X107</f>
        <v/>
      </c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9" t="n"/>
      <c r="AQ107" s="4" t="n"/>
      <c r="AR107" s="49" t="n"/>
      <c r="AS107" s="4" t="n"/>
      <c r="AT107" s="4" t="n"/>
      <c r="AU107" s="4" t="n"/>
      <c r="AV107" s="4" t="n"/>
      <c r="AW107" s="4" t="n"/>
      <c r="AX107" s="4" t="n"/>
      <c r="AY107" s="4" t="n"/>
      <c r="AZ107" s="4" t="n"/>
      <c r="BA107" s="27" t="n"/>
      <c r="BB107" s="512" t="n"/>
    </row>
    <row r="108" ht="15.6" customHeight="1">
      <c r="B108" s="2" t="n"/>
      <c r="C108" s="485" t="n"/>
      <c r="D108" s="505" t="n"/>
      <c r="E108" s="505" t="n"/>
      <c r="F108" s="10" t="n"/>
      <c r="G108" s="505" t="n"/>
      <c r="H108" s="505" t="n"/>
      <c r="I108" s="505" t="n"/>
      <c r="J108" s="505" t="n"/>
      <c r="K108" s="505" t="n"/>
      <c r="L108" s="505" t="n"/>
      <c r="M108" s="505" t="n"/>
      <c r="N108" s="505" t="n"/>
      <c r="O108" s="505" t="n"/>
      <c r="P108" s="505" t="n"/>
      <c r="Q108" s="505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9" t="n"/>
      <c r="AQ108" s="4" t="n"/>
      <c r="AR108" s="9" t="n"/>
      <c r="AS108" s="4" t="n"/>
      <c r="AT108" s="4" t="n"/>
      <c r="AU108" s="4" t="n"/>
      <c r="AV108" s="4" t="n"/>
      <c r="AW108" s="4" t="n"/>
      <c r="AX108" s="4" t="n"/>
      <c r="AY108" s="4" t="n"/>
      <c r="AZ108" s="4" t="n"/>
      <c r="BA108" s="27" t="n"/>
      <c r="BB108" s="512">
        <f>Y108+BA108</f>
        <v/>
      </c>
    </row>
    <row r="109" ht="26.25" customFormat="1" customHeight="1" s="74" thickBot="1">
      <c r="A109" s="1" t="n"/>
      <c r="B109" s="513" t="inlineStr">
        <is>
          <t>TOTAL PAGADO</t>
        </is>
      </c>
      <c r="C109" s="514" t="n"/>
      <c r="D109" s="514" t="n"/>
      <c r="E109" s="514" t="n"/>
      <c r="F109" s="514" t="n"/>
      <c r="G109" s="514" t="n"/>
      <c r="H109" s="514" t="n"/>
      <c r="I109" s="514" t="n"/>
      <c r="J109" s="514" t="n"/>
      <c r="K109" s="514" t="n"/>
      <c r="L109" s="514" t="n"/>
      <c r="M109" s="514" t="n"/>
      <c r="N109" s="514" t="n"/>
      <c r="O109" s="515" t="n"/>
      <c r="P109" s="516">
        <f>SUM(P6:P108)</f>
        <v/>
      </c>
      <c r="Q109" s="516" t="n"/>
      <c r="R109" s="517">
        <f>SUM(R6:R108)</f>
        <v/>
      </c>
      <c r="S109" s="70" t="n"/>
      <c r="T109" s="517">
        <f>SUM(T6:T108)</f>
        <v/>
      </c>
      <c r="U109" s="70" t="n"/>
      <c r="V109" s="517">
        <f>SUM(V6:V108)</f>
        <v/>
      </c>
      <c r="W109" s="70" t="n"/>
      <c r="X109" s="70" t="n"/>
      <c r="Y109" s="517">
        <f>SUM(Y6:Y108)</f>
        <v/>
      </c>
      <c r="Z109" s="70" t="n"/>
      <c r="AA109" s="517">
        <f>SUM(AA6:AA108)</f>
        <v/>
      </c>
      <c r="AB109" s="70" t="n"/>
      <c r="AC109" s="517">
        <f>SUM(AC6:AC108)</f>
        <v/>
      </c>
      <c r="AD109" s="70" t="n"/>
      <c r="AE109" s="518">
        <f>SUM(AE6:AE108)</f>
        <v/>
      </c>
      <c r="AF109" s="70" t="n"/>
      <c r="AG109" s="518">
        <f>SUM(AG6:AG108)</f>
        <v/>
      </c>
      <c r="AH109" s="70" t="n"/>
      <c r="AI109" s="518">
        <f>SUM(AI6:AI108)</f>
        <v/>
      </c>
      <c r="AJ109" s="70" t="n"/>
      <c r="AK109" s="518">
        <f>SUM(AK6:AK108)</f>
        <v/>
      </c>
      <c r="AL109" s="70" t="n"/>
      <c r="AM109" s="518">
        <f>SUM(AM6:AM108)</f>
        <v/>
      </c>
      <c r="AN109" s="70" t="n"/>
      <c r="AO109" s="518">
        <f>SUM(AO6:AO108)</f>
        <v/>
      </c>
      <c r="AP109" s="518" t="n"/>
      <c r="AQ109" s="518" t="n"/>
      <c r="AR109" s="518" t="n"/>
      <c r="AS109" s="518">
        <f>SUM(AS6:AS108)</f>
        <v/>
      </c>
      <c r="AT109" s="518" t="n"/>
      <c r="AU109" s="518" t="n"/>
      <c r="AV109" s="518" t="n"/>
      <c r="AW109" s="518" t="n"/>
      <c r="AX109" s="518" t="n"/>
      <c r="AY109" s="518" t="n"/>
      <c r="AZ109" s="518">
        <f>SUM(AZ6:AZ108)</f>
        <v/>
      </c>
      <c r="BA109" s="519">
        <f>SUM(BA6:BA108)-AZ109</f>
        <v/>
      </c>
      <c r="BB109" s="520">
        <f>SUM(BB6:BB108)</f>
        <v/>
      </c>
    </row>
  </sheetData>
  <autoFilter ref="A4:B16"/>
  <mergeCells count="10">
    <mergeCell ref="A4:A5"/>
    <mergeCell ref="B109:O109"/>
    <mergeCell ref="B2:BB2"/>
    <mergeCell ref="BB4:BB5"/>
    <mergeCell ref="D5:Y5"/>
    <mergeCell ref="Z5:BA5"/>
    <mergeCell ref="B3:BB3"/>
    <mergeCell ref="C25:C108"/>
    <mergeCell ref="C6:C24"/>
    <mergeCell ref="B1:BB1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06"/>
  <sheetViews>
    <sheetView tabSelected="1" zoomScale="90" zoomScaleNormal="90" workbookViewId="0">
      <pane ySplit="5" topLeftCell="A6" activePane="bottomLeft" state="frozen"/>
      <selection pane="bottomLeft" activeCell="P1" sqref="P1"/>
      <selection pane="bottomLeft" activeCell="A6" sqref="A6"/>
      <selection pane="bottomRight" activeCell="AC7" sqref="AC7"/>
    </sheetView>
  </sheetViews>
  <sheetFormatPr baseColWidth="10" defaultColWidth="11.44140625" defaultRowHeight="13.8"/>
  <cols>
    <col width="12.88671875" customWidth="1" style="396" min="1" max="1"/>
    <col width="6.109375" customWidth="1" style="300" min="2" max="2"/>
    <col width="14.88671875" customWidth="1" style="397" min="3" max="3"/>
    <col hidden="1" width="4.5546875" customWidth="1" style="300" min="4" max="4"/>
    <col width="5.5546875" customWidth="1" style="398" min="5" max="5"/>
    <col width="8.6640625" customWidth="1" style="397" min="6" max="6"/>
    <col hidden="1" width="12.6640625" customWidth="1" style="300" min="7" max="7"/>
    <col width="13.33203125" customWidth="1" style="399" min="8" max="8"/>
    <col hidden="1" width="12.6640625" customWidth="1" style="300" min="9" max="11"/>
    <col width="18.5546875" customWidth="1" style="300" min="12" max="12"/>
    <col width="11.5546875" customWidth="1" style="300" min="13" max="13"/>
    <col width="14.109375" customWidth="1" style="300" min="14" max="14"/>
    <col width="14.33203125" customWidth="1" style="300" min="15" max="15"/>
    <col width="14.109375" customWidth="1" style="300" min="16" max="17"/>
    <col width="13" customWidth="1" style="300" min="18" max="19"/>
    <col width="13" bestFit="1" customWidth="1" style="300" min="20" max="20"/>
    <col width="13" customWidth="1" style="300" min="21" max="21"/>
    <col width="14.109375" bestFit="1" customWidth="1" style="300" min="22" max="22"/>
    <col width="12.6640625" bestFit="1" customWidth="1" style="300" min="23" max="23"/>
    <col width="13.77734375" bestFit="1" customWidth="1" style="300" min="24" max="24"/>
    <col width="12.77734375" customWidth="1" style="521" min="25" max="25"/>
    <col width="12.5546875" bestFit="1" customWidth="1" style="521" min="26" max="26"/>
    <col width="12.6640625" bestFit="1" customWidth="1" style="300" min="27" max="28"/>
    <col width="12.6640625" customWidth="1" style="300" min="29" max="29"/>
    <col width="28.109375" customWidth="1" style="300" min="30" max="30"/>
    <col width="11.44140625" customWidth="1" style="300" min="31" max="16384"/>
  </cols>
  <sheetData>
    <row r="1" ht="31.2" customFormat="1" customHeight="1" s="298">
      <c r="A1" s="443" t="inlineStr">
        <is>
          <t>L&amp;M INVERSIONES, S.A. DE C.V.</t>
        </is>
      </c>
    </row>
    <row r="2" ht="31.2" customFormat="1" customHeight="1" s="298">
      <c r="A2" s="442" t="inlineStr">
        <is>
          <t>VEHICULOS IMPORTADOS / COMPRAS COPART INC</t>
        </is>
      </c>
    </row>
    <row r="3" ht="31.2" customFormat="1" customHeight="1" s="299" thickBot="1">
      <c r="A3" s="460" t="n"/>
      <c r="B3" s="472" t="n"/>
      <c r="C3" s="472" t="n"/>
      <c r="D3" s="472" t="n"/>
      <c r="E3" s="472" t="n"/>
      <c r="F3" s="472" t="n"/>
      <c r="G3" s="472" t="n"/>
      <c r="H3" s="472" t="n"/>
      <c r="I3" s="472" t="n"/>
      <c r="J3" s="472" t="n"/>
      <c r="K3" s="472" t="n"/>
      <c r="L3" s="472" t="n"/>
      <c r="M3" s="472" t="n"/>
      <c r="N3" s="472" t="n"/>
      <c r="O3" s="472" t="n"/>
      <c r="P3" s="472" t="n"/>
      <c r="Q3" s="472" t="n"/>
      <c r="R3" s="472" t="n"/>
      <c r="S3" s="472" t="n"/>
      <c r="T3" s="472" t="n"/>
      <c r="U3" s="472" t="n"/>
      <c r="V3" s="472" t="n"/>
      <c r="W3" s="472" t="n"/>
      <c r="X3" s="472" t="n"/>
      <c r="Y3" s="472" t="n"/>
      <c r="Z3" s="472" t="n"/>
      <c r="AA3" s="472" t="n"/>
      <c r="AB3" s="472" t="n"/>
      <c r="AC3" s="472" t="n"/>
      <c r="AD3" s="472" t="n"/>
    </row>
    <row r="4" ht="27" customHeight="1" thickBot="1">
      <c r="A4" s="522" t="inlineStr">
        <is>
          <t xml:space="preserve"># LOTE </t>
        </is>
      </c>
      <c r="B4" s="523" t="n">
        <v>2025</v>
      </c>
      <c r="C4" s="524" t="inlineStr">
        <is>
          <t xml:space="preserve">FECHA DE ADQUISICION </t>
        </is>
      </c>
      <c r="D4" s="171" t="inlineStr">
        <is>
          <t>CLASE</t>
        </is>
      </c>
      <c r="E4" s="525" t="inlineStr">
        <is>
          <t>#</t>
        </is>
      </c>
      <c r="F4" s="526" t="inlineStr">
        <is>
          <t xml:space="preserve">AÑO </t>
        </is>
      </c>
      <c r="G4" s="430" t="inlineStr">
        <is>
          <t xml:space="preserve">PLACA </t>
        </is>
      </c>
      <c r="H4" s="526" t="inlineStr">
        <is>
          <t>MARCA</t>
        </is>
      </c>
      <c r="I4" s="173" t="inlineStr">
        <is>
          <t>TIPO</t>
        </is>
      </c>
      <c r="J4" s="173" t="inlineStr">
        <is>
          <t xml:space="preserve">No. DE CHASIS </t>
        </is>
      </c>
      <c r="K4" s="430" t="inlineStr">
        <is>
          <t>No. DE MOTOR</t>
        </is>
      </c>
      <c r="L4" s="526" t="inlineStr">
        <is>
          <t>MODELO</t>
        </is>
      </c>
      <c r="M4" s="526" t="inlineStr">
        <is>
          <t>COLOR</t>
        </is>
      </c>
      <c r="N4" s="526" t="inlineStr">
        <is>
          <t>COSTO DE VEHICULO</t>
        </is>
      </c>
      <c r="O4" s="527" t="n">
        <v>0.3</v>
      </c>
      <c r="P4" s="526" t="inlineStr">
        <is>
          <t>COSTO DE VENTA</t>
        </is>
      </c>
      <c r="Q4" s="528" t="inlineStr">
        <is>
          <t>VENTA NETA</t>
        </is>
      </c>
      <c r="R4" s="529" t="inlineStr">
        <is>
          <t>IVA VENTA</t>
        </is>
      </c>
      <c r="S4" s="529" t="inlineStr">
        <is>
          <t>IVA DUCA</t>
        </is>
      </c>
      <c r="T4" s="528" t="inlineStr">
        <is>
          <t>IVA A PAGAR</t>
        </is>
      </c>
      <c r="U4" s="526" t="inlineStr">
        <is>
          <t>PAGO A CUENTA</t>
        </is>
      </c>
      <c r="V4" s="530" t="inlineStr">
        <is>
          <t>PRECIO DE VENTA</t>
        </is>
      </c>
      <c r="W4" s="446" t="n">
        <v>0.15</v>
      </c>
      <c r="X4" s="448" t="n">
        <v>0.3</v>
      </c>
      <c r="Y4" s="531" t="inlineStr">
        <is>
          <t>LEASING</t>
        </is>
      </c>
      <c r="Z4" s="452" t="inlineStr">
        <is>
          <t>CONTADO</t>
        </is>
      </c>
      <c r="AA4" s="454" t="inlineStr">
        <is>
          <t>PRIMA (20%)</t>
        </is>
      </c>
      <c r="AB4" s="444" t="inlineStr">
        <is>
          <t xml:space="preserve">PRIMA CON COMISION </t>
        </is>
      </c>
      <c r="AC4" s="458" t="inlineStr">
        <is>
          <t>UTILIDAD GENERADA</t>
        </is>
      </c>
      <c r="AD4" s="532" t="inlineStr">
        <is>
          <t>OBSERVACIONES</t>
        </is>
      </c>
    </row>
    <row r="5" ht="18.6" customFormat="1" customHeight="1" s="302" thickBot="1">
      <c r="A5" s="533" t="n"/>
      <c r="B5" s="467" t="n"/>
      <c r="C5" s="472" t="n"/>
      <c r="D5" s="301" t="n"/>
      <c r="E5" s="534" t="n"/>
      <c r="F5" s="534" t="n"/>
      <c r="G5" s="301" t="n"/>
      <c r="H5" s="534" t="n"/>
      <c r="I5" s="301" t="n"/>
      <c r="J5" s="301" t="n"/>
      <c r="K5" s="301" t="n"/>
      <c r="L5" s="534" t="n"/>
      <c r="M5" s="534" t="n"/>
      <c r="N5" s="534" t="n"/>
      <c r="O5" s="534" t="n"/>
      <c r="P5" s="534" t="n"/>
      <c r="Q5" s="534" t="n"/>
      <c r="R5" s="534" t="n"/>
      <c r="S5" s="534" t="n"/>
      <c r="T5" s="534" t="n"/>
      <c r="U5" s="534" t="n"/>
      <c r="V5" s="534" t="n"/>
      <c r="W5" s="535" t="n"/>
      <c r="X5" s="536" t="n"/>
      <c r="Y5" s="535" t="n"/>
      <c r="Z5" s="535" t="n"/>
      <c r="AA5" s="535" t="n"/>
      <c r="AB5" s="537" t="n"/>
      <c r="AC5" s="467" t="n"/>
      <c r="AD5" s="534" t="n"/>
    </row>
    <row r="6" ht="16.8" customHeight="1">
      <c r="A6" s="176" t="inlineStr">
        <is>
          <t>SDAD</t>
        </is>
      </c>
      <c r="B6" s="467" t="n"/>
      <c r="C6" s="538" t="n">
        <v>46178</v>
      </c>
      <c r="D6" s="229" t="n"/>
      <c r="E6" s="220" t="n">
        <v>1</v>
      </c>
      <c r="F6" s="230" t="n">
        <v>2025</v>
      </c>
      <c r="G6" s="162" t="n"/>
      <c r="H6" s="162" t="inlineStr">
        <is>
          <t>HYUNDAI</t>
        </is>
      </c>
      <c r="I6" s="231" t="n"/>
      <c r="J6" s="231" t="n"/>
      <c r="K6" s="232" t="n"/>
      <c r="L6" s="232" t="inlineStr">
        <is>
          <t>ELANTRA</t>
        </is>
      </c>
      <c r="M6" s="231" t="inlineStr">
        <is>
          <t>BLANCO</t>
        </is>
      </c>
      <c r="N6" s="539" t="n">
        <v>5650</v>
      </c>
      <c r="O6" s="540" t="n">
        <v>0.3</v>
      </c>
      <c r="P6" s="539" t="n">
        <v>7345</v>
      </c>
      <c r="Q6" s="539" t="n">
        <v>0</v>
      </c>
      <c r="R6" s="541" t="n">
        <v>0</v>
      </c>
      <c r="S6" s="539" t="n">
        <v>0</v>
      </c>
      <c r="T6" s="539" t="n">
        <v>0</v>
      </c>
      <c r="U6" s="539" t="n">
        <v>0</v>
      </c>
      <c r="V6" s="542" t="n">
        <v>7000</v>
      </c>
      <c r="W6" s="542" t="n">
        <v>1050</v>
      </c>
      <c r="X6" s="542" t="n">
        <v>2100</v>
      </c>
      <c r="Y6" s="543" t="n">
        <v>7000</v>
      </c>
      <c r="Z6" s="543" t="n">
        <v>7000</v>
      </c>
      <c r="AA6" s="542" t="n">
        <v>1400</v>
      </c>
      <c r="AB6" s="544" t="n">
        <v>1500</v>
      </c>
      <c r="AC6" s="545" t="n">
        <v>1350</v>
      </c>
      <c r="AD6" s="307" t="inlineStr"/>
    </row>
    <row r="7" ht="16.8" customHeight="1">
      <c r="A7" s="176" t="inlineStr">
        <is>
          <t>1815616</t>
        </is>
      </c>
      <c r="B7" s="467" t="n"/>
      <c r="C7" s="538" t="n">
        <v>46174</v>
      </c>
      <c r="D7" s="229" t="n"/>
      <c r="E7" s="220" t="n">
        <v>2</v>
      </c>
      <c r="F7" s="230" t="n">
        <v>2010</v>
      </c>
      <c r="G7" s="162" t="n"/>
      <c r="H7" s="162" t="inlineStr">
        <is>
          <t>TOYOTA</t>
        </is>
      </c>
      <c r="I7" s="231" t="n"/>
      <c r="J7" s="231" t="n"/>
      <c r="K7" s="232" t="n"/>
      <c r="L7" s="232" t="inlineStr">
        <is>
          <t>MATRIX</t>
        </is>
      </c>
      <c r="M7" s="231" t="inlineStr">
        <is>
          <t>ROJO</t>
        </is>
      </c>
      <c r="N7" s="539" t="n">
        <v>2580</v>
      </c>
      <c r="O7" s="540" t="n">
        <v>0.3</v>
      </c>
      <c r="P7" s="539" t="n">
        <v>3354</v>
      </c>
      <c r="Q7" s="539" t="n">
        <v>0</v>
      </c>
      <c r="R7" s="541" t="n">
        <v>0</v>
      </c>
      <c r="S7" s="539" t="n">
        <v>0</v>
      </c>
      <c r="T7" s="539" t="n">
        <v>0</v>
      </c>
      <c r="U7" s="539" t="n">
        <v>0</v>
      </c>
      <c r="V7" s="542" t="n">
        <v>3000</v>
      </c>
      <c r="W7" s="542" t="n">
        <v>450</v>
      </c>
      <c r="X7" s="542" t="n">
        <v>900</v>
      </c>
      <c r="Y7" s="543" t="n">
        <v>3000</v>
      </c>
      <c r="Z7" s="543" t="n">
        <v>3000</v>
      </c>
      <c r="AA7" s="542" t="n">
        <v>600</v>
      </c>
      <c r="AB7" s="544" t="n">
        <v>700</v>
      </c>
      <c r="AC7" s="545" t="n">
        <v>420</v>
      </c>
      <c r="AD7" s="307" t="inlineStr"/>
    </row>
    <row r="8" ht="16.8" customHeight="1">
      <c r="A8" s="176" t="inlineStr">
        <is>
          <t>189165</t>
        </is>
      </c>
      <c r="B8" s="467" t="n"/>
      <c r="C8" s="538" t="n">
        <v>46144</v>
      </c>
      <c r="D8" s="229" t="n"/>
      <c r="E8" s="220" t="n">
        <v>3</v>
      </c>
      <c r="F8" s="230" t="n">
        <v>2015</v>
      </c>
      <c r="G8" s="162" t="n"/>
      <c r="H8" s="162" t="inlineStr">
        <is>
          <t>FORD</t>
        </is>
      </c>
      <c r="I8" s="231" t="n"/>
      <c r="J8" s="231" t="n"/>
      <c r="K8" s="232" t="n"/>
      <c r="L8" s="232" t="inlineStr">
        <is>
          <t>ESCAPE</t>
        </is>
      </c>
      <c r="M8" s="231" t="inlineStr">
        <is>
          <t>NEGRO</t>
        </is>
      </c>
      <c r="N8" s="539" t="n">
        <v>3650</v>
      </c>
      <c r="O8" s="540" t="n">
        <v>0.3</v>
      </c>
      <c r="P8" s="539" t="n">
        <v>4745</v>
      </c>
      <c r="Q8" s="539" t="n">
        <v>0</v>
      </c>
      <c r="R8" s="541" t="n">
        <v>0</v>
      </c>
      <c r="S8" s="539" t="n">
        <v>0</v>
      </c>
      <c r="T8" s="539" t="n">
        <v>0</v>
      </c>
      <c r="U8" s="539" t="n">
        <v>0</v>
      </c>
      <c r="V8" s="542" t="n">
        <v>5000</v>
      </c>
      <c r="W8" s="542" t="n">
        <v>750</v>
      </c>
      <c r="X8" s="542" t="n">
        <v>1500</v>
      </c>
      <c r="Y8" s="543" t="n">
        <v>5000</v>
      </c>
      <c r="Z8" s="543" t="n">
        <v>5000</v>
      </c>
      <c r="AA8" s="542" t="n">
        <v>1000</v>
      </c>
      <c r="AB8" s="544" t="n">
        <v>1100</v>
      </c>
      <c r="AC8" s="545" t="n">
        <v>1350</v>
      </c>
      <c r="AD8" s="307" t="inlineStr"/>
    </row>
    <row r="9" ht="16.8" customHeight="1">
      <c r="A9" s="176" t="inlineStr">
        <is>
          <t>2859198</t>
        </is>
      </c>
      <c r="B9" s="467" t="n"/>
      <c r="C9" s="538" t="n">
        <v>46167</v>
      </c>
      <c r="D9" s="229" t="n"/>
      <c r="E9" s="220" t="n">
        <v>4</v>
      </c>
      <c r="F9" s="230" t="n">
        <v>2018</v>
      </c>
      <c r="G9" s="162" t="n"/>
      <c r="H9" s="162" t="inlineStr">
        <is>
          <t>HONDA</t>
        </is>
      </c>
      <c r="I9" s="231" t="n"/>
      <c r="J9" s="231" t="n"/>
      <c r="K9" s="232" t="n"/>
      <c r="L9" s="232" t="inlineStr">
        <is>
          <t>CIVIC</t>
        </is>
      </c>
      <c r="M9" s="231" t="inlineStr">
        <is>
          <t>ROJO</t>
        </is>
      </c>
      <c r="N9" s="539" t="n">
        <v>6250</v>
      </c>
      <c r="O9" s="540" t="n">
        <v>0.3</v>
      </c>
      <c r="P9" s="539" t="n">
        <v>8125</v>
      </c>
      <c r="Q9" s="539" t="n">
        <v>0</v>
      </c>
      <c r="R9" s="541" t="n">
        <v>0</v>
      </c>
      <c r="S9" s="539" t="n">
        <v>0</v>
      </c>
      <c r="T9" s="539" t="n">
        <v>0</v>
      </c>
      <c r="U9" s="539" t="n">
        <v>0</v>
      </c>
      <c r="V9" s="542" t="n">
        <v>0</v>
      </c>
      <c r="W9" s="542" t="n"/>
      <c r="X9" s="542" t="n"/>
      <c r="Y9" s="543" t="n">
        <v>0</v>
      </c>
      <c r="Z9" s="543" t="n">
        <v>0</v>
      </c>
      <c r="AA9" s="542" t="n">
        <v>0</v>
      </c>
      <c r="AB9" s="544" t="n"/>
      <c r="AC9" s="545" t="n">
        <v>-6250</v>
      </c>
      <c r="AD9" s="307" t="inlineStr"/>
    </row>
    <row r="10" ht="16.8" customHeight="1">
      <c r="A10" s="176" t="inlineStr">
        <is>
          <t>LT1951</t>
        </is>
      </c>
      <c r="B10" s="467" t="n"/>
      <c r="C10" s="538" t="n">
        <v>46146</v>
      </c>
      <c r="D10" s="229" t="n"/>
      <c r="E10" s="220" t="n">
        <v>5</v>
      </c>
      <c r="F10" s="230" t="n">
        <v>2019</v>
      </c>
      <c r="G10" s="162" t="n"/>
      <c r="H10" s="162" t="inlineStr">
        <is>
          <t>HYUNDAI</t>
        </is>
      </c>
      <c r="I10" s="231" t="n"/>
      <c r="J10" s="231" t="n"/>
      <c r="K10" s="232" t="n"/>
      <c r="L10" s="232" t="inlineStr">
        <is>
          <t>SANTA FE</t>
        </is>
      </c>
      <c r="M10" s="231" t="inlineStr">
        <is>
          <t>NEGRO</t>
        </is>
      </c>
      <c r="N10" s="539" t="n">
        <v>2500</v>
      </c>
      <c r="O10" s="540" t="n">
        <v>0.3</v>
      </c>
      <c r="P10" s="539" t="n">
        <v>3250</v>
      </c>
      <c r="Q10" s="539" t="n">
        <v>0</v>
      </c>
      <c r="R10" s="541" t="n">
        <v>0</v>
      </c>
      <c r="S10" s="539" t="n">
        <v>0</v>
      </c>
      <c r="T10" s="539" t="n">
        <v>0</v>
      </c>
      <c r="U10" s="539" t="n">
        <v>0</v>
      </c>
      <c r="V10" s="542" t="n">
        <v>0</v>
      </c>
      <c r="W10" s="542" t="n"/>
      <c r="X10" s="542" t="n"/>
      <c r="Y10" s="543" t="n">
        <v>0</v>
      </c>
      <c r="Z10" s="543" t="n">
        <v>0</v>
      </c>
      <c r="AA10" s="542" t="n">
        <v>0</v>
      </c>
      <c r="AB10" s="544" t="n"/>
      <c r="AC10" s="545" t="n">
        <v>-2500</v>
      </c>
      <c r="AD10" s="307" t="inlineStr"/>
    </row>
    <row r="11" ht="16.8" customHeight="1">
      <c r="A11" s="176" t="inlineStr">
        <is>
          <t>LOTE 51</t>
        </is>
      </c>
      <c r="B11" s="467" t="n"/>
      <c r="C11" s="538" t="n">
        <v>46143</v>
      </c>
      <c r="D11" s="229" t="n"/>
      <c r="E11" s="220" t="n">
        <v>6</v>
      </c>
      <c r="F11" s="230" t="n">
        <v>2019</v>
      </c>
      <c r="G11" s="162" t="n"/>
      <c r="H11" s="162" t="inlineStr">
        <is>
          <t>HONDA</t>
        </is>
      </c>
      <c r="I11" s="231" t="n"/>
      <c r="J11" s="231" t="n"/>
      <c r="K11" s="232" t="n"/>
      <c r="L11" s="232" t="inlineStr">
        <is>
          <t>CIVIC</t>
        </is>
      </c>
      <c r="M11" s="231" t="inlineStr">
        <is>
          <t>NEGRO</t>
        </is>
      </c>
      <c r="N11" s="539" t="n">
        <v>5450</v>
      </c>
      <c r="O11" s="540" t="n">
        <v>0.3</v>
      </c>
      <c r="P11" s="539" t="n">
        <v>7085</v>
      </c>
      <c r="Q11" s="539" t="n">
        <v>0</v>
      </c>
      <c r="R11" s="541" t="n">
        <v>0</v>
      </c>
      <c r="S11" s="539" t="n">
        <v>0</v>
      </c>
      <c r="T11" s="539" t="n">
        <v>0</v>
      </c>
      <c r="U11" s="539" t="n">
        <v>0</v>
      </c>
      <c r="V11" s="542" t="n">
        <v>7000</v>
      </c>
      <c r="W11" s="542" t="n">
        <v>1050</v>
      </c>
      <c r="X11" s="542" t="n">
        <v>2100</v>
      </c>
      <c r="Y11" s="543" t="n">
        <v>7000</v>
      </c>
      <c r="Z11" s="543" t="n">
        <v>7000</v>
      </c>
      <c r="AA11" s="542" t="n">
        <v>1400</v>
      </c>
      <c r="AB11" s="544" t="n">
        <v>1500</v>
      </c>
      <c r="AC11" s="545" t="n">
        <v>1550</v>
      </c>
      <c r="AD11" s="307" t="inlineStr"/>
    </row>
    <row r="12" ht="16.8" customHeight="1" thickBot="1">
      <c r="A12" s="176" t="inlineStr">
        <is>
          <t>LOTE 5</t>
        </is>
      </c>
      <c r="B12" s="467" t="n"/>
      <c r="C12" s="538" t="n">
        <v>46153</v>
      </c>
      <c r="D12" s="229" t="n"/>
      <c r="E12" s="220" t="n">
        <v>7</v>
      </c>
      <c r="F12" s="230" t="n">
        <v>2017</v>
      </c>
      <c r="G12" s="162" t="n"/>
      <c r="H12" s="162" t="inlineStr">
        <is>
          <t>FORD</t>
        </is>
      </c>
      <c r="I12" s="231" t="n"/>
      <c r="J12" s="231" t="n"/>
      <c r="K12" s="232" t="n"/>
      <c r="L12" s="232" t="inlineStr">
        <is>
          <t>ESCAPE</t>
        </is>
      </c>
      <c r="M12" s="231" t="inlineStr">
        <is>
          <t>NEGRO</t>
        </is>
      </c>
      <c r="N12" s="539" t="n">
        <v>3580</v>
      </c>
      <c r="O12" s="540" t="n">
        <v>0.3</v>
      </c>
      <c r="P12" s="539" t="n">
        <v>4654</v>
      </c>
      <c r="Q12" s="539" t="n">
        <v>0</v>
      </c>
      <c r="R12" s="541" t="n">
        <v>0</v>
      </c>
      <c r="S12" s="539" t="n">
        <v>0</v>
      </c>
      <c r="T12" s="539" t="n">
        <v>0</v>
      </c>
      <c r="U12" s="539" t="n">
        <v>0</v>
      </c>
      <c r="V12" s="542" t="n">
        <v>4500</v>
      </c>
      <c r="W12" s="542" t="n">
        <v>675</v>
      </c>
      <c r="X12" s="542" t="n">
        <v>1350</v>
      </c>
      <c r="Y12" s="543" t="n">
        <v>4500</v>
      </c>
      <c r="Z12" s="543" t="n">
        <v>4500</v>
      </c>
      <c r="AA12" s="542" t="n">
        <v>900</v>
      </c>
      <c r="AB12" s="544" t="n">
        <v>1000</v>
      </c>
      <c r="AC12" s="545" t="n">
        <v>920</v>
      </c>
      <c r="AD12" s="307" t="inlineStr"/>
    </row>
    <row r="13" ht="16.8" customFormat="1" customHeight="1" s="321" thickBot="1">
      <c r="A13" s="176" t="inlineStr">
        <is>
          <t>69991855</t>
        </is>
      </c>
      <c r="B13" s="467" t="n"/>
      <c r="C13" s="538" t="n">
        <v>46162</v>
      </c>
      <c r="D13" s="229" t="n"/>
      <c r="E13" s="220" t="n">
        <v>8</v>
      </c>
      <c r="F13" s="230" t="n">
        <v>2017</v>
      </c>
      <c r="G13" s="162" t="n"/>
      <c r="H13" s="162" t="inlineStr">
        <is>
          <t>HONDA</t>
        </is>
      </c>
      <c r="I13" s="231" t="n"/>
      <c r="J13" s="231" t="n"/>
      <c r="K13" s="232" t="n"/>
      <c r="L13" s="232" t="inlineStr">
        <is>
          <t>CIVIC</t>
        </is>
      </c>
      <c r="M13" s="231" t="inlineStr">
        <is>
          <t>NEGRO</t>
        </is>
      </c>
      <c r="N13" s="539" t="n">
        <v>2100</v>
      </c>
      <c r="O13" s="540" t="n">
        <v>0.3</v>
      </c>
      <c r="P13" s="539" t="n">
        <v>2730</v>
      </c>
      <c r="Q13" s="539" t="n">
        <v>0</v>
      </c>
      <c r="R13" s="541" t="n">
        <v>0</v>
      </c>
      <c r="S13" s="539" t="n">
        <v>0</v>
      </c>
      <c r="T13" s="539" t="n">
        <v>0</v>
      </c>
      <c r="U13" s="539" t="n">
        <v>0</v>
      </c>
      <c r="V13" s="542" t="n">
        <v>3000</v>
      </c>
      <c r="W13" s="542" t="n">
        <v>450</v>
      </c>
      <c r="X13" s="542" t="n">
        <v>900</v>
      </c>
      <c r="Y13" s="543" t="n">
        <v>3000</v>
      </c>
      <c r="Z13" s="543" t="n">
        <v>3000</v>
      </c>
      <c r="AA13" s="542" t="n">
        <v>600</v>
      </c>
      <c r="AB13" s="544" t="n">
        <v>700</v>
      </c>
      <c r="AC13" s="545" t="n">
        <v>900</v>
      </c>
      <c r="AD13" s="307" t="inlineStr"/>
    </row>
    <row r="14" ht="16.8" customHeight="1">
      <c r="A14" s="176" t="inlineStr">
        <is>
          <t>818919148</t>
        </is>
      </c>
      <c r="B14" s="467" t="n"/>
      <c r="C14" s="538" t="n">
        <v>46143</v>
      </c>
      <c r="D14" s="229" t="n"/>
      <c r="E14" s="220" t="n">
        <v>9</v>
      </c>
      <c r="F14" s="230" t="n">
        <v>2019</v>
      </c>
      <c r="G14" s="162" t="n"/>
      <c r="H14" s="162" t="inlineStr">
        <is>
          <t>HYUNDAI</t>
        </is>
      </c>
      <c r="I14" s="231" t="n"/>
      <c r="J14" s="231" t="n"/>
      <c r="K14" s="232" t="n"/>
      <c r="L14" s="232" t="inlineStr">
        <is>
          <t>ELANTRA</t>
        </is>
      </c>
      <c r="M14" s="231" t="inlineStr">
        <is>
          <t>NEGRO</t>
        </is>
      </c>
      <c r="N14" s="539" t="n">
        <v>6405</v>
      </c>
      <c r="O14" s="540" t="n">
        <v>0.3</v>
      </c>
      <c r="P14" s="539" t="n">
        <v>8326.5</v>
      </c>
      <c r="Q14" s="539" t="n">
        <v>8326.5</v>
      </c>
      <c r="R14" s="541" t="n">
        <v>1082.44</v>
      </c>
      <c r="S14" s="539" t="n">
        <v>500</v>
      </c>
      <c r="T14" s="539" t="n">
        <v>582.4400000000001</v>
      </c>
      <c r="U14" s="539" t="n">
        <v>145.71</v>
      </c>
      <c r="V14" s="542" t="n">
        <v>9411.01</v>
      </c>
      <c r="W14" s="542" t="n">
        <v>1411.6515</v>
      </c>
      <c r="X14" s="542" t="n">
        <v>2823.303</v>
      </c>
      <c r="Y14" s="543" t="n">
        <v>9411.01</v>
      </c>
      <c r="Z14" s="543" t="n">
        <v>9411.01</v>
      </c>
      <c r="AA14" s="542" t="n">
        <v>1882.2</v>
      </c>
      <c r="AB14" s="544" t="n">
        <v>1982.2</v>
      </c>
      <c r="AC14" s="545" t="n">
        <v>1921.5</v>
      </c>
      <c r="AD14" s="307" t="inlineStr"/>
    </row>
    <row r="15" ht="16.8" customHeight="1">
      <c r="A15" s="176" t="inlineStr">
        <is>
          <t>8585</t>
        </is>
      </c>
      <c r="B15" s="467" t="n"/>
      <c r="C15" s="538" t="n">
        <v>46139</v>
      </c>
      <c r="D15" s="229" t="n"/>
      <c r="E15" s="220" t="n">
        <v>10</v>
      </c>
      <c r="F15" s="230" t="n">
        <v>2020</v>
      </c>
      <c r="G15" s="162" t="n"/>
      <c r="H15" s="162" t="inlineStr">
        <is>
          <t>HONDA</t>
        </is>
      </c>
      <c r="I15" s="231" t="n"/>
      <c r="J15" s="231" t="n"/>
      <c r="K15" s="232" t="n"/>
      <c r="L15" s="232" t="inlineStr">
        <is>
          <t>CRV</t>
        </is>
      </c>
      <c r="M15" s="231" t="inlineStr">
        <is>
          <t>AZUL</t>
        </is>
      </c>
      <c r="N15" s="539" t="n">
        <v>8350</v>
      </c>
      <c r="O15" s="540" t="n">
        <v>0.3</v>
      </c>
      <c r="P15" s="539" t="n">
        <v>10855</v>
      </c>
      <c r="Q15" s="539" t="n">
        <v>10855</v>
      </c>
      <c r="R15" s="541" t="n">
        <v>1411.15</v>
      </c>
      <c r="S15" s="539" t="n">
        <v>500</v>
      </c>
      <c r="T15" s="539" t="n">
        <v>911.15</v>
      </c>
      <c r="U15" s="539" t="n">
        <v>189.96</v>
      </c>
      <c r="V15" s="542" t="n">
        <v>12268.22</v>
      </c>
      <c r="W15" s="542" t="n">
        <v>1840.233</v>
      </c>
      <c r="X15" s="542" t="n">
        <v>3680.466</v>
      </c>
      <c r="Y15" s="543" t="n">
        <v>12268.22</v>
      </c>
      <c r="Z15" s="543" t="n">
        <v>12268.22</v>
      </c>
      <c r="AA15" s="542" t="n">
        <v>2453.64</v>
      </c>
      <c r="AB15" s="544" t="n">
        <v>2553.64</v>
      </c>
      <c r="AC15" s="545" t="n">
        <v>2505</v>
      </c>
      <c r="AD15" s="307" t="inlineStr"/>
    </row>
    <row r="16" ht="16.8" customHeight="1">
      <c r="A16" s="176" t="n"/>
      <c r="B16" s="467" t="n"/>
      <c r="C16" s="177" t="n"/>
      <c r="D16" s="229" t="n"/>
      <c r="E16" s="220" t="n"/>
      <c r="F16" s="230" t="n"/>
      <c r="G16" s="162" t="n"/>
      <c r="H16" s="162" t="n"/>
      <c r="I16" s="231" t="n"/>
      <c r="J16" s="231" t="n"/>
      <c r="K16" s="232" t="n"/>
      <c r="L16" s="232" t="n"/>
      <c r="M16" s="231" t="n"/>
      <c r="N16" s="546" t="n"/>
      <c r="O16" s="546" t="n"/>
      <c r="P16" s="546" t="n"/>
      <c r="Q16" s="546" t="n"/>
      <c r="R16" s="547" t="n"/>
      <c r="S16" s="546" t="n"/>
      <c r="T16" s="546" t="n"/>
      <c r="U16" s="546" t="n"/>
      <c r="V16" s="548" t="n"/>
      <c r="W16" s="548" t="n"/>
      <c r="X16" s="548" t="n"/>
      <c r="Y16" s="549" t="n"/>
      <c r="Z16" s="549" t="n"/>
      <c r="AA16" s="548" t="n"/>
      <c r="AB16" s="550" t="n"/>
      <c r="AC16" s="551" t="n"/>
      <c r="AD16" s="307" t="n"/>
    </row>
    <row r="17" ht="16.8" customHeight="1">
      <c r="A17" s="176" t="n"/>
      <c r="B17" s="467" t="n"/>
      <c r="C17" s="177" t="n"/>
      <c r="D17" s="229" t="n"/>
      <c r="E17" s="220" t="n"/>
      <c r="F17" s="230" t="n"/>
      <c r="G17" s="162" t="n"/>
      <c r="H17" s="162" t="n"/>
      <c r="I17" s="231" t="n"/>
      <c r="J17" s="231" t="n"/>
      <c r="K17" s="232" t="n"/>
      <c r="L17" s="232" t="n"/>
      <c r="M17" s="231" t="n"/>
      <c r="N17" s="546" t="n"/>
      <c r="O17" s="546" t="n"/>
      <c r="P17" s="546" t="n"/>
      <c r="Q17" s="546" t="n"/>
      <c r="R17" s="547" t="n"/>
      <c r="S17" s="546" t="n"/>
      <c r="T17" s="546" t="n"/>
      <c r="U17" s="546" t="n"/>
      <c r="V17" s="548" t="n"/>
      <c r="W17" s="548" t="n"/>
      <c r="X17" s="548" t="n"/>
      <c r="Y17" s="549" t="n"/>
      <c r="Z17" s="549" t="n"/>
      <c r="AA17" s="548" t="n"/>
      <c r="AB17" s="550" t="n"/>
      <c r="AC17" s="551" t="n"/>
      <c r="AD17" s="307" t="n"/>
    </row>
    <row r="18" ht="16.8" customFormat="1" customHeight="1" s="327">
      <c r="A18" s="176" t="n"/>
      <c r="B18" s="467" t="n"/>
      <c r="C18" s="177" t="n"/>
      <c r="D18" s="229" t="n"/>
      <c r="E18" s="220" t="n"/>
      <c r="F18" s="230" t="n"/>
      <c r="G18" s="162" t="n"/>
      <c r="H18" s="162" t="n"/>
      <c r="I18" s="231" t="n"/>
      <c r="J18" s="231" t="n"/>
      <c r="K18" s="232" t="n"/>
      <c r="L18" s="232" t="n"/>
      <c r="M18" s="231" t="n"/>
      <c r="N18" s="546" t="n"/>
      <c r="O18" s="546" t="n"/>
      <c r="P18" s="546" t="n"/>
      <c r="Q18" s="546" t="n"/>
      <c r="R18" s="547" t="n"/>
      <c r="S18" s="546" t="n"/>
      <c r="T18" s="546" t="n"/>
      <c r="U18" s="546" t="n"/>
      <c r="V18" s="548" t="n"/>
      <c r="W18" s="548" t="n"/>
      <c r="X18" s="548" t="n"/>
      <c r="Y18" s="549" t="n"/>
      <c r="Z18" s="549" t="n"/>
      <c r="AA18" s="548" t="n"/>
      <c r="AB18" s="550" t="n"/>
      <c r="AC18" s="551" t="n"/>
      <c r="AD18" s="307" t="n"/>
    </row>
    <row r="19" ht="16.8" customHeight="1">
      <c r="A19" s="176" t="n"/>
      <c r="B19" s="467" t="n"/>
      <c r="C19" s="177" t="n"/>
      <c r="D19" s="229" t="n"/>
      <c r="E19" s="220" t="n"/>
      <c r="F19" s="230" t="n"/>
      <c r="G19" s="162" t="n"/>
      <c r="H19" s="162" t="n"/>
      <c r="I19" s="231" t="n"/>
      <c r="J19" s="231" t="n"/>
      <c r="K19" s="232" t="n"/>
      <c r="L19" s="232" t="n"/>
      <c r="M19" s="231" t="n"/>
      <c r="N19" s="546" t="n"/>
      <c r="O19" s="546" t="n"/>
      <c r="P19" s="546" t="n"/>
      <c r="Q19" s="546" t="n"/>
      <c r="R19" s="547" t="n"/>
      <c r="S19" s="546" t="n"/>
      <c r="T19" s="546" t="n"/>
      <c r="U19" s="546" t="n"/>
      <c r="V19" s="548" t="n"/>
      <c r="W19" s="548" t="n"/>
      <c r="X19" s="548" t="n"/>
      <c r="Y19" s="549" t="n"/>
      <c r="Z19" s="549" t="n"/>
      <c r="AA19" s="548" t="n"/>
      <c r="AB19" s="550" t="n"/>
      <c r="AC19" s="551" t="n"/>
      <c r="AD19" s="307" t="n"/>
    </row>
    <row r="20" ht="16.8" customHeight="1">
      <c r="A20" s="176" t="n"/>
      <c r="B20" s="467" t="n"/>
      <c r="C20" s="177" t="n"/>
      <c r="D20" s="229" t="n"/>
      <c r="E20" s="220" t="n"/>
      <c r="F20" s="230" t="n"/>
      <c r="G20" s="162" t="n"/>
      <c r="H20" s="162" t="n"/>
      <c r="I20" s="231" t="n"/>
      <c r="J20" s="231" t="n"/>
      <c r="K20" s="232" t="n"/>
      <c r="L20" s="232" t="n"/>
      <c r="M20" s="231" t="n"/>
      <c r="N20" s="546" t="n"/>
      <c r="O20" s="546" t="n"/>
      <c r="P20" s="546" t="n"/>
      <c r="Q20" s="546" t="n"/>
      <c r="R20" s="547" t="n"/>
      <c r="S20" s="546" t="n"/>
      <c r="T20" s="546" t="n"/>
      <c r="U20" s="546" t="n"/>
      <c r="V20" s="548" t="n"/>
      <c r="W20" s="548" t="n"/>
      <c r="X20" s="548" t="n"/>
      <c r="Y20" s="549" t="n"/>
      <c r="Z20" s="549" t="n"/>
      <c r="AA20" s="548" t="n"/>
      <c r="AB20" s="550" t="n"/>
      <c r="AC20" s="551" t="n"/>
      <c r="AD20" s="307" t="n"/>
    </row>
    <row r="21" ht="16.8" customHeight="1">
      <c r="A21" s="273" t="inlineStr">
        <is>
          <t>92430325</t>
        </is>
      </c>
      <c r="B21" s="467" t="n"/>
      <c r="C21" s="265" t="n">
        <v>45993</v>
      </c>
      <c r="D21" s="241" t="n"/>
      <c r="E21" s="258" t="n">
        <v>16</v>
      </c>
      <c r="F21" s="243" t="n">
        <v>2020</v>
      </c>
      <c r="G21" s="238" t="n"/>
      <c r="H21" s="238" t="inlineStr">
        <is>
          <t xml:space="preserve">Kia </t>
        </is>
      </c>
      <c r="I21" s="238" t="n"/>
      <c r="J21" s="238" t="n"/>
      <c r="K21" s="266" t="n"/>
      <c r="L21" s="244" t="inlineStr">
        <is>
          <t>Rio</t>
        </is>
      </c>
      <c r="M21" s="238" t="inlineStr">
        <is>
          <t>Blanco</t>
        </is>
      </c>
      <c r="N21" s="552" t="n"/>
      <c r="O21" s="552" t="n"/>
      <c r="P21" s="552" t="n"/>
      <c r="Q21" s="552" t="n"/>
      <c r="R21" s="553" t="n"/>
      <c r="S21" s="552" t="n"/>
      <c r="T21" s="552" t="n"/>
      <c r="U21" s="552" t="n"/>
      <c r="V21" s="554" t="n"/>
      <c r="W21" s="554" t="n"/>
      <c r="X21" s="554" t="n"/>
      <c r="Y21" s="555" t="n"/>
      <c r="Z21" s="555" t="n"/>
      <c r="AA21" s="554" t="n"/>
      <c r="AB21" s="556" t="n"/>
      <c r="AC21" s="557" t="n"/>
      <c r="AD21" s="312" t="n"/>
    </row>
    <row r="22" ht="16.8" customHeight="1">
      <c r="A22" s="273" t="inlineStr">
        <is>
          <t>91957805</t>
        </is>
      </c>
      <c r="B22" s="467" t="n"/>
      <c r="C22" s="265" t="n">
        <v>45995</v>
      </c>
      <c r="D22" s="241" t="n"/>
      <c r="E22" s="235" t="n">
        <v>17</v>
      </c>
      <c r="F22" s="243" t="n">
        <v>2020</v>
      </c>
      <c r="G22" s="238" t="n"/>
      <c r="H22" s="238" t="inlineStr">
        <is>
          <t xml:space="preserve">Mitsubishi </t>
        </is>
      </c>
      <c r="I22" s="238" t="n"/>
      <c r="J22" s="238" t="n"/>
      <c r="K22" s="240" t="n"/>
      <c r="L22" s="244" t="inlineStr">
        <is>
          <t xml:space="preserve"> Mirage G4 </t>
        </is>
      </c>
      <c r="M22" s="238" t="inlineStr">
        <is>
          <t>Azul</t>
        </is>
      </c>
      <c r="N22" s="552" t="n"/>
      <c r="O22" s="552" t="n"/>
      <c r="P22" s="552" t="n"/>
      <c r="Q22" s="552" t="n"/>
      <c r="R22" s="553" t="n"/>
      <c r="S22" s="552" t="n"/>
      <c r="T22" s="552" t="n"/>
      <c r="U22" s="552" t="n"/>
      <c r="V22" s="554" t="n"/>
      <c r="W22" s="554" t="n"/>
      <c r="X22" s="554" t="n"/>
      <c r="Y22" s="555" t="n"/>
      <c r="Z22" s="555" t="n"/>
      <c r="AA22" s="554" t="n"/>
      <c r="AB22" s="556" t="n"/>
      <c r="AC22" s="557" t="n"/>
      <c r="AD22" s="312" t="n"/>
    </row>
    <row r="23" ht="16.8" customHeight="1">
      <c r="A23" s="273" t="inlineStr">
        <is>
          <t>81809775</t>
        </is>
      </c>
      <c r="B23" s="467" t="n"/>
      <c r="C23" s="265" t="n">
        <v>45995</v>
      </c>
      <c r="D23" s="241" t="n"/>
      <c r="E23" s="242" t="n">
        <v>18</v>
      </c>
      <c r="F23" s="243" t="n">
        <v>2020</v>
      </c>
      <c r="G23" s="238" t="n"/>
      <c r="H23" s="238" t="inlineStr">
        <is>
          <t>Hyundai</t>
        </is>
      </c>
      <c r="I23" s="238" t="n"/>
      <c r="J23" s="238" t="n"/>
      <c r="K23" s="266" t="n"/>
      <c r="L23" s="244" t="inlineStr">
        <is>
          <t>Elantra</t>
        </is>
      </c>
      <c r="M23" s="238" t="inlineStr">
        <is>
          <t>Negro</t>
        </is>
      </c>
      <c r="N23" s="552" t="n"/>
      <c r="O23" s="552" t="n"/>
      <c r="P23" s="552" t="n"/>
      <c r="Q23" s="552" t="n"/>
      <c r="R23" s="553" t="n"/>
      <c r="S23" s="552" t="n"/>
      <c r="T23" s="552" t="n"/>
      <c r="U23" s="552" t="n"/>
      <c r="V23" s="554" t="n"/>
      <c r="W23" s="554" t="n"/>
      <c r="X23" s="554" t="n"/>
      <c r="Y23" s="555" t="n"/>
      <c r="Z23" s="555" t="n"/>
      <c r="AA23" s="554" t="n"/>
      <c r="AB23" s="556" t="n"/>
      <c r="AC23" s="557" t="n"/>
      <c r="AD23" s="312" t="n"/>
    </row>
    <row r="24" ht="16.8" customHeight="1">
      <c r="A24" s="273" t="inlineStr">
        <is>
          <t>80069525</t>
        </is>
      </c>
      <c r="B24" s="467" t="n"/>
      <c r="C24" s="265" t="n">
        <v>45996</v>
      </c>
      <c r="D24" s="241" t="n"/>
      <c r="E24" s="242" t="n">
        <v>19</v>
      </c>
      <c r="F24" s="243" t="n">
        <v>2020</v>
      </c>
      <c r="G24" s="238" t="n"/>
      <c r="H24" s="238" t="inlineStr">
        <is>
          <t>Hyundai</t>
        </is>
      </c>
      <c r="I24" s="238" t="n"/>
      <c r="J24" s="238" t="n"/>
      <c r="K24" s="266" t="n"/>
      <c r="L24" s="244" t="inlineStr">
        <is>
          <t>Accent</t>
        </is>
      </c>
      <c r="M24" s="238" t="inlineStr">
        <is>
          <t xml:space="preserve">Gris </t>
        </is>
      </c>
      <c r="N24" s="552" t="n"/>
      <c r="O24" s="552" t="n"/>
      <c r="P24" s="552" t="n"/>
      <c r="Q24" s="552" t="n"/>
      <c r="R24" s="553" t="n"/>
      <c r="S24" s="552" t="n"/>
      <c r="T24" s="552" t="n"/>
      <c r="U24" s="552" t="n"/>
      <c r="V24" s="554" t="n"/>
      <c r="W24" s="554" t="n"/>
      <c r="X24" s="554" t="n"/>
      <c r="Y24" s="555" t="n"/>
      <c r="Z24" s="555" t="n"/>
      <c r="AA24" s="554" t="n"/>
      <c r="AB24" s="556" t="n"/>
      <c r="AC24" s="557" t="n"/>
      <c r="AD24" s="312" t="n"/>
    </row>
    <row r="25" ht="16.8" customHeight="1" thickBot="1">
      <c r="A25" s="274" t="inlineStr">
        <is>
          <t>92571825</t>
        </is>
      </c>
      <c r="B25" s="534" t="n"/>
      <c r="C25" s="245" t="n">
        <v>45996</v>
      </c>
      <c r="D25" s="246" t="n"/>
      <c r="E25" s="269" t="n">
        <v>20</v>
      </c>
      <c r="F25" s="248" t="n">
        <v>2019</v>
      </c>
      <c r="G25" s="249" t="n"/>
      <c r="H25" s="249" t="inlineStr">
        <is>
          <t xml:space="preserve">Nissan </t>
        </is>
      </c>
      <c r="I25" s="249" t="n"/>
      <c r="J25" s="249" t="n"/>
      <c r="K25" s="250" t="n"/>
      <c r="L25" s="251" t="inlineStr">
        <is>
          <t>Kicks</t>
        </is>
      </c>
      <c r="M25" s="249" t="inlineStr">
        <is>
          <t>Negro</t>
        </is>
      </c>
      <c r="N25" s="558" t="n"/>
      <c r="O25" s="558" t="n"/>
      <c r="P25" s="558" t="n"/>
      <c r="Q25" s="558" t="n"/>
      <c r="R25" s="559" t="n"/>
      <c r="S25" s="558" t="n"/>
      <c r="T25" s="558" t="n"/>
      <c r="U25" s="558" t="n"/>
      <c r="V25" s="560" t="n"/>
      <c r="W25" s="560" t="n"/>
      <c r="X25" s="560" t="n"/>
      <c r="Y25" s="561" t="n"/>
      <c r="Z25" s="561" t="n"/>
      <c r="AA25" s="560" t="n"/>
      <c r="AB25" s="562" t="n"/>
      <c r="AC25" s="563" t="n"/>
      <c r="AD25" s="317" t="n"/>
    </row>
    <row r="26" ht="16.8" customFormat="1" customHeight="1" s="321" thickBot="1">
      <c r="A26" s="179" t="n">
        <v>85282515</v>
      </c>
      <c r="B26" s="564" t="n">
        <v>2026</v>
      </c>
      <c r="C26" s="185" t="n">
        <v>46028</v>
      </c>
      <c r="D26" s="186" t="n"/>
      <c r="E26" s="223" t="n">
        <v>21</v>
      </c>
      <c r="F26" s="187" t="n">
        <v>2019</v>
      </c>
      <c r="G26" s="186" t="n"/>
      <c r="H26" s="186" t="inlineStr">
        <is>
          <t xml:space="preserve">Hyundai </t>
        </is>
      </c>
      <c r="I26" s="188" t="n"/>
      <c r="J26" s="188" t="n"/>
      <c r="K26" s="189" t="n"/>
      <c r="L26" s="565" t="inlineStr">
        <is>
          <t>Tucson Limited</t>
        </is>
      </c>
      <c r="M26" s="566" t="inlineStr">
        <is>
          <t>Negro</t>
        </is>
      </c>
      <c r="N26" s="566" t="n"/>
      <c r="O26" s="566" t="n"/>
      <c r="P26" s="566" t="n"/>
      <c r="Q26" s="566" t="n"/>
      <c r="R26" s="566" t="n"/>
      <c r="S26" s="566" t="n"/>
      <c r="T26" s="566" t="n"/>
      <c r="U26" s="566" t="n"/>
      <c r="V26" s="566" t="n"/>
      <c r="W26" s="567" t="n"/>
      <c r="X26" s="567" t="n"/>
      <c r="Y26" s="568" t="n"/>
      <c r="Z26" s="568" t="n"/>
      <c r="AA26" s="567" t="n"/>
      <c r="AB26" s="567" t="n"/>
      <c r="AC26" s="569" t="n"/>
      <c r="AD26" s="320" t="n"/>
    </row>
    <row r="27" ht="16.8" customHeight="1" thickBot="1">
      <c r="A27" s="293" t="inlineStr">
        <is>
          <t>93970575</t>
        </is>
      </c>
      <c r="B27" s="467" t="n"/>
      <c r="C27" s="277" t="n">
        <v>46028</v>
      </c>
      <c r="D27" s="278" t="n"/>
      <c r="E27" s="279" t="n">
        <v>22</v>
      </c>
      <c r="F27" s="280" t="n">
        <v>2019</v>
      </c>
      <c r="G27" s="281" t="n"/>
      <c r="H27" s="281" t="inlineStr">
        <is>
          <t>Kia</t>
        </is>
      </c>
      <c r="I27" s="282" t="n"/>
      <c r="J27" s="282" t="n"/>
      <c r="K27" s="283" t="n"/>
      <c r="L27" s="570" t="inlineStr">
        <is>
          <t>Forte Fe</t>
        </is>
      </c>
      <c r="M27" s="571" t="inlineStr">
        <is>
          <t>Blanco</t>
        </is>
      </c>
      <c r="N27" s="571" t="n"/>
      <c r="O27" s="571" t="n"/>
      <c r="P27" s="571" t="n"/>
      <c r="Q27" s="571" t="n"/>
      <c r="R27" s="571" t="n"/>
      <c r="S27" s="571" t="n"/>
      <c r="T27" s="571" t="n"/>
      <c r="U27" s="571" t="n"/>
      <c r="V27" s="571" t="n"/>
      <c r="W27" s="572" t="n"/>
      <c r="X27" s="573" t="n"/>
      <c r="Y27" s="574" t="n"/>
      <c r="Z27" s="574" t="n"/>
      <c r="AA27" s="573" t="n"/>
      <c r="AB27" s="575" t="n"/>
      <c r="AC27" s="576" t="n"/>
      <c r="AD27" s="333" t="n"/>
    </row>
    <row r="28" ht="16.8" customFormat="1" customHeight="1" s="334" thickBot="1">
      <c r="A28" s="183" t="inlineStr">
        <is>
          <t>94475305</t>
        </is>
      </c>
      <c r="B28" s="467" t="n"/>
      <c r="C28" s="185" t="n">
        <v>46029</v>
      </c>
      <c r="D28" s="186" t="n"/>
      <c r="E28" s="223" t="n">
        <v>23</v>
      </c>
      <c r="F28" s="187" t="n">
        <v>2020</v>
      </c>
      <c r="G28" s="186" t="n"/>
      <c r="H28" s="186" t="inlineStr">
        <is>
          <t xml:space="preserve">Hyundai </t>
        </is>
      </c>
      <c r="I28" s="188" t="n"/>
      <c r="J28" s="188" t="n"/>
      <c r="K28" s="189" t="n"/>
      <c r="L28" s="565" t="inlineStr">
        <is>
          <t>Elantra</t>
        </is>
      </c>
      <c r="M28" s="566" t="inlineStr">
        <is>
          <t>Rojo</t>
        </is>
      </c>
      <c r="N28" s="566" t="n"/>
      <c r="O28" s="566" t="n"/>
      <c r="P28" s="566" t="n"/>
      <c r="Q28" s="566" t="n"/>
      <c r="R28" s="566" t="n"/>
      <c r="S28" s="566" t="n"/>
      <c r="T28" s="566" t="n"/>
      <c r="U28" s="566" t="n"/>
      <c r="V28" s="566" t="n"/>
      <c r="W28" s="567" t="n"/>
      <c r="X28" s="567" t="n"/>
      <c r="Y28" s="568" t="n"/>
      <c r="Z28" s="568" t="n"/>
      <c r="AA28" s="567" t="n"/>
      <c r="AB28" s="567" t="n"/>
      <c r="AC28" s="569" t="n"/>
      <c r="AD28" s="320" t="n"/>
      <c r="AE28" s="321" t="n"/>
      <c r="AF28" s="321" t="n"/>
      <c r="AG28" s="321" t="n"/>
      <c r="AH28" s="321" t="n"/>
      <c r="AI28" s="321" t="n"/>
      <c r="AJ28" s="321" t="n"/>
      <c r="AK28" s="321" t="n"/>
      <c r="AL28" s="321" t="n"/>
      <c r="AM28" s="321" t="n"/>
      <c r="AN28" s="321" t="n"/>
      <c r="AO28" s="321" t="n"/>
      <c r="AP28" s="321" t="n"/>
      <c r="AQ28" s="321" t="n"/>
      <c r="AR28" s="321" t="n"/>
      <c r="AS28" s="321" t="n"/>
      <c r="AT28" s="321" t="n"/>
      <c r="AU28" s="321" t="n"/>
      <c r="AV28" s="321" t="n"/>
      <c r="AW28" s="321" t="n"/>
      <c r="AX28" s="321" t="n"/>
      <c r="AY28" s="321" t="n"/>
      <c r="AZ28" s="321" t="n"/>
      <c r="BA28" s="321" t="n"/>
      <c r="BB28" s="321" t="n"/>
      <c r="BC28" s="321" t="n"/>
      <c r="BD28" s="321" t="n"/>
      <c r="BE28" s="321" t="n"/>
      <c r="BF28" s="321" t="n"/>
      <c r="BG28" s="321" t="n"/>
      <c r="BH28" s="321" t="n"/>
      <c r="BI28" s="321" t="n"/>
      <c r="BJ28" s="321" t="n"/>
      <c r="BK28" s="321" t="n"/>
      <c r="BL28" s="321" t="n"/>
      <c r="BM28" s="321" t="n"/>
      <c r="BN28" s="321" t="n"/>
      <c r="BO28" s="321" t="n"/>
      <c r="BP28" s="321" t="n"/>
      <c r="BQ28" s="321" t="n"/>
      <c r="BR28" s="321" t="n"/>
      <c r="BS28" s="321" t="n"/>
      <c r="BT28" s="321" t="n"/>
      <c r="BU28" s="321" t="n"/>
      <c r="BV28" s="321" t="n"/>
      <c r="BW28" s="321" t="n"/>
      <c r="BX28" s="321" t="n"/>
      <c r="BY28" s="321" t="n"/>
      <c r="BZ28" s="321" t="n"/>
      <c r="CA28" s="321" t="n"/>
      <c r="CB28" s="321" t="n"/>
      <c r="CC28" s="321" t="n"/>
      <c r="CD28" s="321" t="n"/>
      <c r="CE28" s="321" t="n"/>
      <c r="CF28" s="321" t="n"/>
      <c r="CG28" s="321" t="n"/>
      <c r="CH28" s="321" t="n"/>
      <c r="CI28" s="321" t="n"/>
      <c r="CJ28" s="321" t="n"/>
      <c r="CK28" s="321" t="n"/>
      <c r="CL28" s="321" t="n"/>
      <c r="CM28" s="321" t="n"/>
      <c r="CN28" s="321" t="n"/>
      <c r="CO28" s="321" t="n"/>
      <c r="CP28" s="321" t="n"/>
      <c r="CQ28" s="321" t="n"/>
      <c r="CR28" s="321" t="n"/>
      <c r="CS28" s="321" t="n"/>
      <c r="CT28" s="321" t="n"/>
      <c r="CU28" s="321" t="n"/>
      <c r="CV28" s="321" t="n"/>
      <c r="CW28" s="321" t="n"/>
      <c r="CX28" s="321" t="n"/>
      <c r="CY28" s="321" t="n"/>
      <c r="CZ28" s="321" t="n"/>
      <c r="DA28" s="321" t="n"/>
      <c r="DB28" s="321" t="n"/>
      <c r="DC28" s="321" t="n"/>
      <c r="DD28" s="321" t="n"/>
      <c r="DE28" s="321" t="n"/>
      <c r="DF28" s="321" t="n"/>
      <c r="DG28" s="321" t="n"/>
      <c r="DH28" s="321" t="n"/>
      <c r="DI28" s="321" t="n"/>
      <c r="DJ28" s="321" t="n"/>
      <c r="DK28" s="321" t="n"/>
      <c r="DL28" s="321" t="n"/>
      <c r="DM28" s="321" t="n"/>
      <c r="DN28" s="321" t="n"/>
      <c r="DO28" s="321" t="n"/>
      <c r="DP28" s="321" t="n"/>
      <c r="DQ28" s="321" t="n"/>
      <c r="DR28" s="321" t="n"/>
      <c r="DS28" s="321" t="n"/>
      <c r="DT28" s="321" t="n"/>
      <c r="DU28" s="321" t="n"/>
      <c r="DV28" s="321" t="n"/>
    </row>
    <row r="29" ht="16.8" customFormat="1" customHeight="1" s="335" thickBot="1">
      <c r="A29" s="293" t="inlineStr">
        <is>
          <t>90341025</t>
        </is>
      </c>
      <c r="B29" s="467" t="n"/>
      <c r="C29" s="277" t="n">
        <v>46029</v>
      </c>
      <c r="D29" s="278" t="n"/>
      <c r="E29" s="271" t="n">
        <v>24</v>
      </c>
      <c r="F29" s="280" t="n">
        <v>2022</v>
      </c>
      <c r="G29" s="281" t="n"/>
      <c r="H29" s="281" t="inlineStr">
        <is>
          <t xml:space="preserve">Chervrolet </t>
        </is>
      </c>
      <c r="I29" s="281" t="n"/>
      <c r="J29" s="281" t="n"/>
      <c r="K29" s="283" t="n"/>
      <c r="L29" s="570" t="inlineStr">
        <is>
          <t>Spark</t>
        </is>
      </c>
      <c r="M29" s="571" t="inlineStr">
        <is>
          <t>Azul</t>
        </is>
      </c>
      <c r="N29" s="571" t="n"/>
      <c r="O29" s="571" t="n"/>
      <c r="P29" s="571" t="n"/>
      <c r="Q29" s="571" t="n"/>
      <c r="R29" s="571" t="n"/>
      <c r="S29" s="571" t="n"/>
      <c r="T29" s="571" t="n"/>
      <c r="U29" s="571" t="n"/>
      <c r="V29" s="571" t="n"/>
      <c r="W29" s="572" t="n"/>
      <c r="X29" s="573" t="n"/>
      <c r="Y29" s="574" t="n"/>
      <c r="Z29" s="574" t="n"/>
      <c r="AA29" s="573" t="n"/>
      <c r="AB29" s="575" t="n"/>
      <c r="AC29" s="576" t="n"/>
      <c r="AD29" s="333" t="n"/>
    </row>
    <row r="30" ht="16.8" customFormat="1" customHeight="1" s="334" thickBot="1">
      <c r="A30" s="183" t="inlineStr">
        <is>
          <t>95636305</t>
        </is>
      </c>
      <c r="B30" s="467" t="n"/>
      <c r="C30" s="185" t="n">
        <v>46029</v>
      </c>
      <c r="D30" s="186" t="n"/>
      <c r="E30" s="223" t="n">
        <v>25</v>
      </c>
      <c r="F30" s="187" t="n">
        <v>2020</v>
      </c>
      <c r="G30" s="186" t="n"/>
      <c r="H30" s="186" t="inlineStr">
        <is>
          <t>Nissan</t>
        </is>
      </c>
      <c r="I30" s="188" t="n"/>
      <c r="J30" s="188" t="n"/>
      <c r="K30" s="189" t="n"/>
      <c r="L30" s="565" t="inlineStr">
        <is>
          <t>Sentra</t>
        </is>
      </c>
      <c r="M30" s="566" t="inlineStr">
        <is>
          <t>Negro</t>
        </is>
      </c>
      <c r="N30" s="566" t="n"/>
      <c r="O30" s="566" t="n"/>
      <c r="P30" s="566" t="n"/>
      <c r="Q30" s="566" t="n"/>
      <c r="R30" s="566" t="n"/>
      <c r="S30" s="566" t="n"/>
      <c r="T30" s="566" t="n"/>
      <c r="U30" s="566" t="n"/>
      <c r="V30" s="566" t="n"/>
      <c r="W30" s="567" t="n"/>
      <c r="X30" s="567" t="n"/>
      <c r="Y30" s="568" t="n"/>
      <c r="Z30" s="568" t="n"/>
      <c r="AA30" s="567" t="n"/>
      <c r="AB30" s="567" t="n"/>
      <c r="AC30" s="569" t="n"/>
      <c r="AD30" s="336" t="n"/>
      <c r="AE30" s="321" t="n"/>
      <c r="AF30" s="321" t="n"/>
      <c r="AG30" s="321" t="n"/>
      <c r="AH30" s="321" t="n"/>
      <c r="AI30" s="321" t="n"/>
      <c r="AJ30" s="321" t="n"/>
      <c r="AK30" s="321" t="n"/>
      <c r="AL30" s="321" t="n"/>
      <c r="AM30" s="321" t="n"/>
      <c r="AN30" s="321" t="n"/>
      <c r="AO30" s="321" t="n"/>
      <c r="AP30" s="321" t="n"/>
      <c r="AQ30" s="321" t="n"/>
      <c r="AR30" s="321" t="n"/>
      <c r="AS30" s="321" t="n"/>
      <c r="AT30" s="321" t="n"/>
      <c r="AU30" s="321" t="n"/>
      <c r="AV30" s="321" t="n"/>
      <c r="AW30" s="321" t="n"/>
      <c r="AX30" s="321" t="n"/>
      <c r="AY30" s="321" t="n"/>
      <c r="AZ30" s="321" t="n"/>
      <c r="BA30" s="321" t="n"/>
      <c r="BB30" s="321" t="n"/>
      <c r="BC30" s="321" t="n"/>
      <c r="BD30" s="321" t="n"/>
      <c r="BE30" s="321" t="n"/>
      <c r="BF30" s="321" t="n"/>
      <c r="BG30" s="321" t="n"/>
      <c r="BH30" s="321" t="n"/>
      <c r="BI30" s="321" t="n"/>
      <c r="BJ30" s="321" t="n"/>
      <c r="BK30" s="321" t="n"/>
      <c r="BL30" s="321" t="n"/>
      <c r="BM30" s="321" t="n"/>
      <c r="BN30" s="321" t="n"/>
      <c r="BO30" s="321" t="n"/>
      <c r="BP30" s="321" t="n"/>
      <c r="BQ30" s="321" t="n"/>
      <c r="BR30" s="321" t="n"/>
      <c r="BS30" s="321" t="n"/>
      <c r="BT30" s="321" t="n"/>
      <c r="BU30" s="321" t="n"/>
      <c r="BV30" s="321" t="n"/>
      <c r="BW30" s="321" t="n"/>
      <c r="BX30" s="321" t="n"/>
      <c r="BY30" s="321" t="n"/>
      <c r="BZ30" s="321" t="n"/>
      <c r="CA30" s="321" t="n"/>
      <c r="CB30" s="321" t="n"/>
      <c r="CC30" s="321" t="n"/>
      <c r="CD30" s="321" t="n"/>
      <c r="CE30" s="321" t="n"/>
      <c r="CF30" s="321" t="n"/>
      <c r="CG30" s="321" t="n"/>
      <c r="CH30" s="321" t="n"/>
      <c r="CI30" s="321" t="n"/>
      <c r="CJ30" s="321" t="n"/>
      <c r="CK30" s="321" t="n"/>
      <c r="CL30" s="321" t="n"/>
      <c r="CM30" s="321" t="n"/>
      <c r="CN30" s="321" t="n"/>
      <c r="CO30" s="321" t="n"/>
      <c r="CP30" s="321" t="n"/>
      <c r="CQ30" s="321" t="n"/>
      <c r="CR30" s="321" t="n"/>
      <c r="CS30" s="321" t="n"/>
      <c r="CT30" s="321" t="n"/>
      <c r="CU30" s="321" t="n"/>
      <c r="CV30" s="321" t="n"/>
      <c r="CW30" s="321" t="n"/>
      <c r="CX30" s="321" t="n"/>
      <c r="CY30" s="321" t="n"/>
      <c r="CZ30" s="321" t="n"/>
      <c r="DA30" s="321" t="n"/>
      <c r="DB30" s="321" t="n"/>
      <c r="DC30" s="321" t="n"/>
      <c r="DD30" s="321" t="n"/>
      <c r="DE30" s="321" t="n"/>
      <c r="DF30" s="321" t="n"/>
      <c r="DG30" s="321" t="n"/>
      <c r="DH30" s="321" t="n"/>
      <c r="DI30" s="321" t="n"/>
      <c r="DJ30" s="321" t="n"/>
      <c r="DK30" s="321" t="n"/>
      <c r="DL30" s="321" t="n"/>
      <c r="DM30" s="321" t="n"/>
      <c r="DN30" s="321" t="n"/>
      <c r="DO30" s="321" t="n"/>
      <c r="DP30" s="321" t="n"/>
      <c r="DQ30" s="321" t="n"/>
      <c r="DR30" s="321" t="n"/>
      <c r="DS30" s="321" t="n"/>
      <c r="DT30" s="321" t="n"/>
      <c r="DU30" s="321" t="n"/>
      <c r="DV30" s="321" t="n"/>
    </row>
    <row r="31" ht="16.8" customFormat="1" customHeight="1" s="335" thickBot="1">
      <c r="A31" s="293" t="n">
        <v>74284945</v>
      </c>
      <c r="B31" s="467" t="n"/>
      <c r="C31" s="277" t="n">
        <v>46076</v>
      </c>
      <c r="D31" s="577" t="n"/>
      <c r="E31" s="271" t="n">
        <v>26</v>
      </c>
      <c r="F31" s="280" t="n">
        <v>2020</v>
      </c>
      <c r="G31" s="578" t="n"/>
      <c r="H31" s="579" t="inlineStr">
        <is>
          <t xml:space="preserve">Kia </t>
        </is>
      </c>
      <c r="I31" s="578" t="n"/>
      <c r="J31" s="578" t="n"/>
      <c r="K31" s="578" t="n"/>
      <c r="L31" s="570" t="inlineStr">
        <is>
          <t>Rio LX</t>
        </is>
      </c>
      <c r="M31" s="571" t="inlineStr">
        <is>
          <t>Negro</t>
        </is>
      </c>
      <c r="N31" s="571" t="n"/>
      <c r="O31" s="571" t="n"/>
      <c r="P31" s="571" t="n"/>
      <c r="Q31" s="571" t="n"/>
      <c r="R31" s="571" t="n"/>
      <c r="S31" s="571" t="n"/>
      <c r="T31" s="571" t="n"/>
      <c r="U31" s="571" t="n"/>
      <c r="V31" s="571" t="n"/>
      <c r="W31" s="572" t="n"/>
      <c r="X31" s="573" t="n"/>
      <c r="Y31" s="574" t="n"/>
      <c r="Z31" s="574" t="n"/>
      <c r="AA31" s="573" t="n"/>
      <c r="AB31" s="575" t="n"/>
      <c r="AC31" s="576" t="n"/>
      <c r="AD31" s="333" t="n"/>
    </row>
    <row r="32" ht="16.8" customFormat="1" customHeight="1" s="334" thickBot="1">
      <c r="A32" s="183" t="n">
        <v>97552065</v>
      </c>
      <c r="B32" s="467" t="n"/>
      <c r="C32" s="185" t="n">
        <v>46076</v>
      </c>
      <c r="D32" s="186" t="n"/>
      <c r="E32" s="223" t="n">
        <v>27</v>
      </c>
      <c r="F32" s="187" t="n">
        <v>2019</v>
      </c>
      <c r="G32" s="186" t="n"/>
      <c r="H32" s="186" t="inlineStr">
        <is>
          <t xml:space="preserve">Chrevrolet </t>
        </is>
      </c>
      <c r="I32" s="188" t="n"/>
      <c r="J32" s="188" t="n"/>
      <c r="K32" s="189" t="n"/>
      <c r="L32" s="565" t="inlineStr">
        <is>
          <t>Trax</t>
        </is>
      </c>
      <c r="M32" s="566" t="inlineStr">
        <is>
          <t xml:space="preserve">Gris </t>
        </is>
      </c>
      <c r="N32" s="566" t="n"/>
      <c r="O32" s="566" t="n"/>
      <c r="P32" s="566" t="n"/>
      <c r="Q32" s="566" t="n"/>
      <c r="R32" s="566" t="n"/>
      <c r="S32" s="566" t="n"/>
      <c r="T32" s="566" t="n"/>
      <c r="U32" s="566" t="n"/>
      <c r="V32" s="566" t="n"/>
      <c r="W32" s="567" t="n"/>
      <c r="X32" s="567" t="n"/>
      <c r="Y32" s="568" t="n"/>
      <c r="Z32" s="568" t="n"/>
      <c r="AA32" s="567" t="n"/>
      <c r="AB32" s="567" t="n"/>
      <c r="AC32" s="569" t="n"/>
      <c r="AD32" s="336" t="n"/>
      <c r="AE32" s="321" t="n"/>
      <c r="AF32" s="321" t="n"/>
      <c r="AG32" s="321" t="n"/>
      <c r="AH32" s="321" t="n"/>
      <c r="AI32" s="321" t="n"/>
      <c r="AJ32" s="321" t="n"/>
      <c r="AK32" s="321" t="n"/>
      <c r="AL32" s="321" t="n"/>
      <c r="AM32" s="321" t="n"/>
      <c r="AN32" s="321" t="n"/>
      <c r="AO32" s="321" t="n"/>
      <c r="AP32" s="321" t="n"/>
      <c r="AQ32" s="321" t="n"/>
      <c r="AR32" s="321" t="n"/>
      <c r="AS32" s="321" t="n"/>
      <c r="AT32" s="321" t="n"/>
      <c r="AU32" s="321" t="n"/>
      <c r="AV32" s="321" t="n"/>
      <c r="AW32" s="321" t="n"/>
      <c r="AX32" s="321" t="n"/>
      <c r="AY32" s="321" t="n"/>
      <c r="AZ32" s="321" t="n"/>
      <c r="BA32" s="321" t="n"/>
      <c r="BB32" s="321" t="n"/>
      <c r="BC32" s="321" t="n"/>
      <c r="BD32" s="321" t="n"/>
      <c r="BE32" s="321" t="n"/>
      <c r="BF32" s="321" t="n"/>
      <c r="BG32" s="321" t="n"/>
      <c r="BH32" s="321" t="n"/>
      <c r="BI32" s="321" t="n"/>
      <c r="BJ32" s="321" t="n"/>
      <c r="BK32" s="321" t="n"/>
      <c r="BL32" s="321" t="n"/>
      <c r="BM32" s="321" t="n"/>
      <c r="BN32" s="321" t="n"/>
      <c r="BO32" s="321" t="n"/>
      <c r="BP32" s="321" t="n"/>
      <c r="BQ32" s="321" t="n"/>
      <c r="BR32" s="321" t="n"/>
      <c r="BS32" s="321" t="n"/>
      <c r="BT32" s="321" t="n"/>
      <c r="BU32" s="321" t="n"/>
      <c r="BV32" s="321" t="n"/>
      <c r="BW32" s="321" t="n"/>
      <c r="BX32" s="321" t="n"/>
      <c r="BY32" s="321" t="n"/>
      <c r="BZ32" s="321" t="n"/>
      <c r="CA32" s="321" t="n"/>
      <c r="CB32" s="321" t="n"/>
      <c r="CC32" s="321" t="n"/>
      <c r="CD32" s="321" t="n"/>
      <c r="CE32" s="321" t="n"/>
      <c r="CF32" s="321" t="n"/>
      <c r="CG32" s="321" t="n"/>
      <c r="CH32" s="321" t="n"/>
      <c r="CI32" s="321" t="n"/>
      <c r="CJ32" s="321" t="n"/>
      <c r="CK32" s="321" t="n"/>
      <c r="CL32" s="321" t="n"/>
      <c r="CM32" s="321" t="n"/>
      <c r="CN32" s="321" t="n"/>
      <c r="CO32" s="321" t="n"/>
      <c r="CP32" s="321" t="n"/>
      <c r="CQ32" s="321" t="n"/>
      <c r="CR32" s="321" t="n"/>
      <c r="CS32" s="321" t="n"/>
      <c r="CT32" s="321" t="n"/>
      <c r="CU32" s="321" t="n"/>
      <c r="CV32" s="321" t="n"/>
      <c r="CW32" s="321" t="n"/>
      <c r="CX32" s="321" t="n"/>
      <c r="CY32" s="321" t="n"/>
      <c r="CZ32" s="321" t="n"/>
      <c r="DA32" s="321" t="n"/>
      <c r="DB32" s="321" t="n"/>
      <c r="DC32" s="321" t="n"/>
      <c r="DD32" s="321" t="n"/>
      <c r="DE32" s="321" t="n"/>
      <c r="DF32" s="321" t="n"/>
      <c r="DG32" s="321" t="n"/>
      <c r="DH32" s="321" t="n"/>
      <c r="DI32" s="321" t="n"/>
      <c r="DJ32" s="321" t="n"/>
      <c r="DK32" s="321" t="n"/>
      <c r="DL32" s="321" t="n"/>
      <c r="DM32" s="321" t="n"/>
      <c r="DN32" s="321" t="n"/>
      <c r="DO32" s="321" t="n"/>
      <c r="DP32" s="321" t="n"/>
      <c r="DQ32" s="321" t="n"/>
      <c r="DR32" s="321" t="n"/>
      <c r="DS32" s="321" t="n"/>
      <c r="DT32" s="321" t="n"/>
      <c r="DU32" s="321" t="n"/>
      <c r="DV32" s="321" t="n"/>
    </row>
    <row r="33" ht="16.8" customHeight="1" thickBot="1">
      <c r="A33" s="293" t="n">
        <v>48992325</v>
      </c>
      <c r="B33" s="467" t="n"/>
      <c r="C33" s="180" t="n">
        <v>46076</v>
      </c>
      <c r="D33" s="580" t="n"/>
      <c r="E33" s="224" t="n">
        <v>28</v>
      </c>
      <c r="F33" s="217" t="n">
        <v>2019</v>
      </c>
      <c r="G33" s="581" t="n"/>
      <c r="H33" s="582" t="inlineStr">
        <is>
          <t>Hyunday</t>
        </is>
      </c>
      <c r="I33" s="581" t="n"/>
      <c r="J33" s="581" t="n"/>
      <c r="K33" s="581" t="n"/>
      <c r="L33" s="583" t="inlineStr">
        <is>
          <t xml:space="preserve">Tucson </t>
        </is>
      </c>
      <c r="M33" s="584" t="n"/>
      <c r="N33" s="584" t="n"/>
      <c r="O33" s="584" t="n"/>
      <c r="P33" s="584" t="n"/>
      <c r="Q33" s="584" t="n"/>
      <c r="R33" s="584" t="n"/>
      <c r="S33" s="584" t="n"/>
      <c r="T33" s="584" t="n"/>
      <c r="U33" s="584" t="n"/>
      <c r="V33" s="584" t="n"/>
      <c r="W33" s="585" t="n"/>
      <c r="X33" s="586" t="n"/>
      <c r="Y33" s="587" t="n"/>
      <c r="Z33" s="587" t="n"/>
      <c r="AA33" s="586" t="n"/>
      <c r="AB33" s="588" t="n"/>
      <c r="AC33" s="589" t="n"/>
      <c r="AD33" s="349" t="n"/>
    </row>
    <row r="34" ht="16.8" customFormat="1" customHeight="1" s="335" thickBot="1">
      <c r="A34" s="184" t="n">
        <v>95831325</v>
      </c>
      <c r="B34" s="467" t="n"/>
      <c r="C34" s="201" t="n">
        <v>46079</v>
      </c>
      <c r="D34" s="194" t="n"/>
      <c r="E34" s="225" t="n">
        <v>29</v>
      </c>
      <c r="F34" s="195" t="n">
        <v>2022</v>
      </c>
      <c r="G34" s="194" t="n"/>
      <c r="H34" s="194" t="inlineStr">
        <is>
          <t xml:space="preserve">Nissan </t>
        </is>
      </c>
      <c r="I34" s="196" t="n"/>
      <c r="J34" s="196" t="n"/>
      <c r="K34" s="197" t="n"/>
      <c r="L34" s="590" t="inlineStr">
        <is>
          <t>Sentra S</t>
        </is>
      </c>
      <c r="M34" s="591" t="inlineStr">
        <is>
          <t>Negro</t>
        </is>
      </c>
      <c r="N34" s="591" t="n"/>
      <c r="O34" s="591" t="n"/>
      <c r="P34" s="591" t="n"/>
      <c r="Q34" s="591" t="n"/>
      <c r="R34" s="591" t="n"/>
      <c r="S34" s="591" t="n"/>
      <c r="T34" s="591" t="n"/>
      <c r="U34" s="591" t="n"/>
      <c r="V34" s="591" t="n"/>
      <c r="W34" s="592" t="n"/>
      <c r="X34" s="592" t="n"/>
      <c r="Y34" s="593" t="n"/>
      <c r="Z34" s="593" t="n"/>
      <c r="AA34" s="592" t="n"/>
      <c r="AB34" s="592" t="n"/>
      <c r="AC34" s="594" t="n"/>
      <c r="AD34" s="352" t="n"/>
    </row>
    <row r="35" ht="16.8" customHeight="1">
      <c r="A35" s="292" t="n">
        <v>78554695</v>
      </c>
      <c r="B35" s="467" t="n"/>
      <c r="C35" s="286" t="n">
        <v>46079</v>
      </c>
      <c r="D35" s="595" t="n"/>
      <c r="E35" s="258" t="n">
        <v>30</v>
      </c>
      <c r="F35" s="259" t="n">
        <v>2020</v>
      </c>
      <c r="G35" s="596" t="n"/>
      <c r="H35" s="597" t="inlineStr">
        <is>
          <t>Hyundai</t>
        </is>
      </c>
      <c r="I35" s="596" t="n"/>
      <c r="J35" s="596" t="n"/>
      <c r="K35" s="596" t="n"/>
      <c r="L35" s="598" t="inlineStr">
        <is>
          <t>Santa Fe SE</t>
        </is>
      </c>
      <c r="M35" s="599" t="inlineStr">
        <is>
          <t>Rojo</t>
        </is>
      </c>
      <c r="N35" s="599" t="n"/>
      <c r="O35" s="599" t="n"/>
      <c r="P35" s="599" t="n"/>
      <c r="Q35" s="599" t="n"/>
      <c r="R35" s="599" t="n"/>
      <c r="S35" s="599" t="n"/>
      <c r="T35" s="599" t="n"/>
      <c r="U35" s="599" t="n"/>
      <c r="V35" s="599" t="n"/>
      <c r="W35" s="600" t="n"/>
      <c r="X35" s="601" t="n"/>
      <c r="Y35" s="602" t="n"/>
      <c r="Z35" s="602" t="n"/>
      <c r="AA35" s="601" t="n"/>
      <c r="AB35" s="603" t="n"/>
      <c r="AC35" s="604" t="n"/>
      <c r="AD35" s="326" t="n"/>
    </row>
    <row r="36" ht="16.8" customHeight="1">
      <c r="A36" s="273" t="n">
        <v>96814985</v>
      </c>
      <c r="B36" s="467" t="n"/>
      <c r="C36" s="233" t="n">
        <v>46090</v>
      </c>
      <c r="D36" s="605" t="n"/>
      <c r="E36" s="235" t="n">
        <v>31</v>
      </c>
      <c r="F36" s="243" t="n">
        <v>2019</v>
      </c>
      <c r="G36" s="606" t="n"/>
      <c r="H36" s="607" t="inlineStr">
        <is>
          <t>Mazda</t>
        </is>
      </c>
      <c r="I36" s="606" t="n"/>
      <c r="J36" s="606" t="n"/>
      <c r="K36" s="606" t="n"/>
      <c r="L36" s="608" t="inlineStr">
        <is>
          <t>CX-9</t>
        </is>
      </c>
      <c r="M36" s="552" t="inlineStr">
        <is>
          <t>Azul</t>
        </is>
      </c>
      <c r="N36" s="552" t="n"/>
      <c r="O36" s="552" t="n"/>
      <c r="P36" s="552" t="n"/>
      <c r="Q36" s="552" t="n"/>
      <c r="R36" s="552" t="n"/>
      <c r="S36" s="599" t="n"/>
      <c r="T36" s="552" t="n"/>
      <c r="U36" s="552" t="n"/>
      <c r="V36" s="552" t="n"/>
      <c r="W36" s="554" t="n"/>
      <c r="X36" s="609" t="n"/>
      <c r="Y36" s="610" t="n"/>
      <c r="Z36" s="610" t="n"/>
      <c r="AA36" s="609" t="n"/>
      <c r="AB36" s="611" t="n"/>
      <c r="AC36" s="612" t="n"/>
      <c r="AD36" s="312" t="n"/>
    </row>
    <row r="37" ht="16.8" customFormat="1" customHeight="1" s="335" thickBot="1">
      <c r="A37" s="274" t="n">
        <v>97933025</v>
      </c>
      <c r="B37" s="467" t="n"/>
      <c r="C37" s="289" t="n">
        <v>46090</v>
      </c>
      <c r="D37" s="613" t="n"/>
      <c r="E37" s="269" t="n">
        <v>32</v>
      </c>
      <c r="F37" s="248" t="n">
        <v>2019</v>
      </c>
      <c r="G37" s="614" t="n"/>
      <c r="H37" s="615" t="inlineStr">
        <is>
          <t xml:space="preserve">Nissan </t>
        </is>
      </c>
      <c r="I37" s="614" t="n"/>
      <c r="J37" s="614" t="n"/>
      <c r="K37" s="614" t="n"/>
      <c r="L37" s="616" t="inlineStr">
        <is>
          <t>Rogue Sport</t>
        </is>
      </c>
      <c r="M37" s="558" t="inlineStr">
        <is>
          <t xml:space="preserve">Gris </t>
        </is>
      </c>
      <c r="N37" s="558" t="n"/>
      <c r="O37" s="558" t="n"/>
      <c r="P37" s="558" t="n"/>
      <c r="Q37" s="558" t="n"/>
      <c r="R37" s="558" t="n"/>
      <c r="S37" s="571" t="n"/>
      <c r="T37" s="558" t="n"/>
      <c r="U37" s="558" t="n"/>
      <c r="V37" s="558" t="n"/>
      <c r="W37" s="560" t="n"/>
      <c r="X37" s="617" t="n"/>
      <c r="Y37" s="618" t="n"/>
      <c r="Z37" s="618" t="n"/>
      <c r="AA37" s="617" t="n"/>
      <c r="AB37" s="619" t="n"/>
      <c r="AC37" s="620" t="n"/>
      <c r="AD37" s="317" t="n"/>
    </row>
    <row r="38" ht="16.8" customFormat="1" customHeight="1" s="335" thickBot="1">
      <c r="A38" s="193" t="n">
        <v>78140565</v>
      </c>
      <c r="B38" s="467" t="n"/>
      <c r="C38" s="210" t="n">
        <v>46090</v>
      </c>
      <c r="D38" s="621" t="n"/>
      <c r="E38" s="225" t="n">
        <v>33</v>
      </c>
      <c r="F38" s="218" t="n">
        <v>2021</v>
      </c>
      <c r="G38" s="622" t="n"/>
      <c r="H38" s="623" t="inlineStr">
        <is>
          <t xml:space="preserve">Nissan </t>
        </is>
      </c>
      <c r="I38" s="622" t="n"/>
      <c r="J38" s="622" t="n"/>
      <c r="K38" s="622" t="n"/>
      <c r="L38" s="624" t="inlineStr">
        <is>
          <t>Versa SV</t>
        </is>
      </c>
      <c r="M38" s="625" t="inlineStr">
        <is>
          <t>Negro</t>
        </is>
      </c>
      <c r="N38" s="625" t="n"/>
      <c r="O38" s="625" t="n"/>
      <c r="P38" s="625" t="n"/>
      <c r="Q38" s="625" t="n"/>
      <c r="R38" s="625" t="n"/>
      <c r="S38" s="625" t="n"/>
      <c r="T38" s="625" t="n"/>
      <c r="U38" s="625" t="n"/>
      <c r="V38" s="625" t="n"/>
      <c r="W38" s="626" t="n"/>
      <c r="X38" s="626" t="n"/>
      <c r="Y38" s="627" t="n"/>
      <c r="Z38" s="627" t="n"/>
      <c r="AA38" s="626" t="n"/>
      <c r="AB38" s="628" t="n"/>
      <c r="AC38" s="594" t="n"/>
      <c r="AD38" s="352" t="n"/>
    </row>
    <row r="39" ht="16.8" customHeight="1" thickBot="1">
      <c r="A39" s="209" t="n">
        <v>92667555</v>
      </c>
      <c r="B39" s="467" t="n"/>
      <c r="C39" s="206" t="n">
        <v>46098</v>
      </c>
      <c r="D39" s="629" t="n"/>
      <c r="E39" s="227" t="n">
        <v>34</v>
      </c>
      <c r="F39" s="219" t="n">
        <v>2019</v>
      </c>
      <c r="G39" s="630" t="n"/>
      <c r="H39" s="631" t="inlineStr">
        <is>
          <t xml:space="preserve">Hyundai </t>
        </is>
      </c>
      <c r="I39" s="630" t="n"/>
      <c r="J39" s="630" t="n"/>
      <c r="K39" s="630" t="n"/>
      <c r="L39" s="632" t="inlineStr">
        <is>
          <t>Elantra Sel</t>
        </is>
      </c>
      <c r="M39" s="633" t="inlineStr">
        <is>
          <t>Rojo</t>
        </is>
      </c>
      <c r="N39" s="633" t="n"/>
      <c r="O39" s="633" t="n"/>
      <c r="P39" s="633" t="n"/>
      <c r="Q39" s="633" t="n"/>
      <c r="R39" s="633" t="n"/>
      <c r="S39" s="633" t="n"/>
      <c r="T39" s="633" t="n"/>
      <c r="U39" s="633" t="n"/>
      <c r="V39" s="633" t="n"/>
      <c r="W39" s="634" t="n"/>
      <c r="X39" s="634" t="n"/>
      <c r="Y39" s="635" t="n"/>
      <c r="Z39" s="635" t="n"/>
      <c r="AA39" s="634" t="n"/>
      <c r="AB39" s="636" t="n"/>
      <c r="AC39" s="637" t="n"/>
      <c r="AD39" s="387" t="n"/>
    </row>
    <row r="40" ht="16.8" customHeight="1" thickBot="1">
      <c r="A40" s="273" t="n">
        <v>77138085</v>
      </c>
      <c r="B40" s="467" t="n"/>
      <c r="C40" s="286" t="n">
        <v>46098</v>
      </c>
      <c r="D40" s="595" t="n"/>
      <c r="E40" s="291" t="n">
        <v>35</v>
      </c>
      <c r="F40" s="259" t="n">
        <v>2022</v>
      </c>
      <c r="G40" s="596" t="n"/>
      <c r="H40" s="597" t="inlineStr">
        <is>
          <t xml:space="preserve">Hyundai </t>
        </is>
      </c>
      <c r="I40" s="596" t="n"/>
      <c r="J40" s="596" t="n"/>
      <c r="K40" s="596" t="n"/>
      <c r="L40" s="598" t="inlineStr">
        <is>
          <t>Elantra Sel</t>
        </is>
      </c>
      <c r="M40" s="599" t="inlineStr">
        <is>
          <t xml:space="preserve">Gris </t>
        </is>
      </c>
      <c r="N40" s="599" t="n"/>
      <c r="O40" s="599" t="n"/>
      <c r="P40" s="599" t="n"/>
      <c r="Q40" s="599" t="n"/>
      <c r="R40" s="599" t="n"/>
      <c r="S40" s="638" t="n"/>
      <c r="T40" s="599" t="n"/>
      <c r="U40" s="599" t="n"/>
      <c r="V40" s="599" t="n"/>
      <c r="W40" s="600" t="n"/>
      <c r="X40" s="601" t="n"/>
      <c r="Y40" s="602" t="n"/>
      <c r="Z40" s="602" t="n"/>
      <c r="AA40" s="601" t="n"/>
      <c r="AB40" s="603" t="n"/>
      <c r="AC40" s="604" t="n"/>
      <c r="AD40" s="326" t="n"/>
    </row>
    <row r="41" ht="16.8" customFormat="1" customHeight="1" s="335" thickBot="1">
      <c r="A41" s="273" t="inlineStr">
        <is>
          <t>79773935</t>
        </is>
      </c>
      <c r="B41" s="467" t="n"/>
      <c r="C41" s="233" t="n">
        <v>46098</v>
      </c>
      <c r="D41" s="605" t="n"/>
      <c r="E41" s="242" t="n">
        <v>36</v>
      </c>
      <c r="F41" s="243" t="n">
        <v>2019</v>
      </c>
      <c r="G41" s="606" t="n"/>
      <c r="H41" s="607" t="inlineStr">
        <is>
          <t xml:space="preserve">Kia </t>
        </is>
      </c>
      <c r="I41" s="606" t="n"/>
      <c r="J41" s="606" t="n"/>
      <c r="K41" s="606" t="n"/>
      <c r="L41" s="608" t="inlineStr">
        <is>
          <t>Soul LX</t>
        </is>
      </c>
      <c r="M41" s="552" t="inlineStr">
        <is>
          <t>Blanco</t>
        </is>
      </c>
      <c r="N41" s="552" t="n"/>
      <c r="O41" s="552" t="n"/>
      <c r="P41" s="552" t="n"/>
      <c r="Q41" s="552" t="n"/>
      <c r="R41" s="552" t="n"/>
      <c r="S41" s="638" t="n"/>
      <c r="T41" s="552" t="n"/>
      <c r="U41" s="552" t="n"/>
      <c r="V41" s="552" t="n"/>
      <c r="W41" s="554" t="n"/>
      <c r="X41" s="609" t="n"/>
      <c r="Y41" s="610" t="n"/>
      <c r="Z41" s="610" t="n"/>
      <c r="AA41" s="609" t="n"/>
      <c r="AB41" s="611" t="n"/>
      <c r="AC41" s="612" t="n"/>
      <c r="AD41" s="312" t="n"/>
    </row>
    <row r="42" ht="16.8" customHeight="1">
      <c r="A42" s="273" t="n">
        <v>96800565</v>
      </c>
      <c r="B42" s="467" t="n"/>
      <c r="C42" s="233" t="n">
        <v>46097</v>
      </c>
      <c r="D42" s="605" t="n"/>
      <c r="E42" s="235" t="n">
        <v>37</v>
      </c>
      <c r="F42" s="243" t="n">
        <v>2020</v>
      </c>
      <c r="G42" s="606" t="n"/>
      <c r="H42" s="607" t="inlineStr">
        <is>
          <t>Nissan</t>
        </is>
      </c>
      <c r="I42" s="606" t="n"/>
      <c r="J42" s="606" t="n"/>
      <c r="K42" s="606" t="n"/>
      <c r="L42" s="608" t="inlineStr">
        <is>
          <t>Sentra SV</t>
        </is>
      </c>
      <c r="M42" s="552" t="inlineStr">
        <is>
          <t>Blanco</t>
        </is>
      </c>
      <c r="N42" s="552" t="n"/>
      <c r="O42" s="552" t="n"/>
      <c r="P42" s="552" t="n"/>
      <c r="Q42" s="552" t="n"/>
      <c r="R42" s="552" t="n"/>
      <c r="S42" s="552" t="n"/>
      <c r="T42" s="552" t="n"/>
      <c r="U42" s="552" t="n"/>
      <c r="V42" s="552" t="n"/>
      <c r="W42" s="554" t="n"/>
      <c r="X42" s="609" t="n"/>
      <c r="Y42" s="610" t="n"/>
      <c r="Z42" s="610" t="n"/>
      <c r="AA42" s="609" t="n"/>
      <c r="AB42" s="611" t="n"/>
      <c r="AC42" s="612" t="n"/>
      <c r="AD42" s="312" t="n"/>
    </row>
    <row r="43" ht="16.8" customHeight="1" thickBot="1">
      <c r="A43" s="274" t="n">
        <v>79169315</v>
      </c>
      <c r="B43" s="467" t="n"/>
      <c r="C43" s="289" t="n">
        <v>46097</v>
      </c>
      <c r="D43" s="613" t="n"/>
      <c r="E43" s="269" t="n">
        <v>38</v>
      </c>
      <c r="F43" s="248" t="n">
        <v>2020</v>
      </c>
      <c r="G43" s="614" t="n"/>
      <c r="H43" s="615" t="inlineStr">
        <is>
          <t>Kia</t>
        </is>
      </c>
      <c r="I43" s="614" t="n"/>
      <c r="J43" s="614" t="n"/>
      <c r="K43" s="614" t="n"/>
      <c r="L43" s="616" t="inlineStr">
        <is>
          <t>Sorenso XL</t>
        </is>
      </c>
      <c r="M43" s="558" t="inlineStr">
        <is>
          <t>Silver</t>
        </is>
      </c>
      <c r="N43" s="558" t="n"/>
      <c r="O43" s="558" t="n"/>
      <c r="P43" s="558" t="n"/>
      <c r="Q43" s="558" t="n"/>
      <c r="R43" s="558" t="n"/>
      <c r="S43" s="552" t="n"/>
      <c r="T43" s="558" t="n"/>
      <c r="U43" s="558" t="n"/>
      <c r="V43" s="558" t="n"/>
      <c r="W43" s="560" t="n"/>
      <c r="X43" s="617" t="n"/>
      <c r="Y43" s="618" t="n"/>
      <c r="Z43" s="618" t="n"/>
      <c r="AA43" s="617" t="n"/>
      <c r="AB43" s="619" t="n"/>
      <c r="AC43" s="620" t="n"/>
      <c r="AD43" s="317" t="n"/>
    </row>
    <row r="44" ht="16.8" customHeight="1" thickBot="1">
      <c r="A44" s="297" t="n">
        <v>77514225</v>
      </c>
      <c r="B44" s="467" t="n"/>
      <c r="C44" s="185" t="n">
        <v>46097</v>
      </c>
      <c r="D44" s="639" t="n"/>
      <c r="E44" s="223" t="n">
        <v>39</v>
      </c>
      <c r="F44" s="187" t="n">
        <v>2019</v>
      </c>
      <c r="G44" s="639" t="n"/>
      <c r="H44" s="640" t="inlineStr">
        <is>
          <t xml:space="preserve">Hyundai </t>
        </is>
      </c>
      <c r="I44" s="639" t="n"/>
      <c r="J44" s="639" t="n"/>
      <c r="K44" s="639" t="n"/>
      <c r="L44" s="565" t="inlineStr">
        <is>
          <t>Accent</t>
        </is>
      </c>
      <c r="M44" s="566" t="inlineStr">
        <is>
          <t>Negro</t>
        </is>
      </c>
      <c r="N44" s="566" t="n"/>
      <c r="O44" s="566" t="n"/>
      <c r="P44" s="566" t="n"/>
      <c r="Q44" s="566" t="n"/>
      <c r="R44" s="566" t="n"/>
      <c r="S44" s="566" t="n"/>
      <c r="T44" s="566" t="n"/>
      <c r="U44" s="566" t="n"/>
      <c r="V44" s="566" t="n"/>
      <c r="W44" s="567" t="n"/>
      <c r="X44" s="567" t="n"/>
      <c r="Y44" s="568" t="n"/>
      <c r="Z44" s="568" t="n"/>
      <c r="AA44" s="567" t="n"/>
      <c r="AB44" s="567" t="n"/>
      <c r="AC44" s="569" t="n"/>
      <c r="AD44" s="336" t="n"/>
    </row>
    <row r="45" ht="16.8" customHeight="1">
      <c r="A45" s="292" t="n">
        <v>76048175</v>
      </c>
      <c r="B45" s="467" t="n"/>
      <c r="C45" s="286" t="n">
        <v>46119</v>
      </c>
      <c r="D45" s="641" t="n"/>
      <c r="E45" s="226" t="n">
        <v>40</v>
      </c>
      <c r="F45" s="259" t="n">
        <v>2025</v>
      </c>
      <c r="G45" s="596" t="n"/>
      <c r="H45" s="597" t="inlineStr">
        <is>
          <t>Nissan</t>
        </is>
      </c>
      <c r="I45" s="596" t="n"/>
      <c r="J45" s="596" t="n"/>
      <c r="K45" s="596" t="n"/>
      <c r="L45" s="598" t="inlineStr">
        <is>
          <t>Versa SV</t>
        </is>
      </c>
      <c r="M45" s="599" t="inlineStr">
        <is>
          <t>Blanco</t>
        </is>
      </c>
      <c r="N45" s="599" t="n"/>
      <c r="O45" s="599" t="n"/>
      <c r="P45" s="599" t="n"/>
      <c r="Q45" s="599" t="n"/>
      <c r="R45" s="599" t="n"/>
      <c r="S45" s="552" t="n"/>
      <c r="T45" s="599" t="n"/>
      <c r="U45" s="599" t="n"/>
      <c r="V45" s="599" t="n"/>
      <c r="W45" s="600" t="n"/>
      <c r="X45" s="601" t="n"/>
      <c r="Y45" s="602" t="n"/>
      <c r="Z45" s="602" t="n"/>
      <c r="AA45" s="601" t="n"/>
      <c r="AB45" s="603" t="n"/>
      <c r="AC45" s="604" t="n"/>
      <c r="AD45" s="326" t="n"/>
    </row>
    <row r="46" ht="16.8" customHeight="1">
      <c r="A46" s="273" t="n">
        <v>79966335</v>
      </c>
      <c r="B46" s="467" t="n"/>
      <c r="C46" s="233" t="n">
        <v>46119</v>
      </c>
      <c r="D46" s="642" t="n"/>
      <c r="E46" s="222" t="n">
        <v>41</v>
      </c>
      <c r="F46" s="243" t="n">
        <v>2020</v>
      </c>
      <c r="G46" s="606" t="n"/>
      <c r="H46" s="607" t="inlineStr">
        <is>
          <t xml:space="preserve">Chevrolet </t>
        </is>
      </c>
      <c r="I46" s="606" t="n"/>
      <c r="J46" s="606" t="n"/>
      <c r="K46" s="606" t="n"/>
      <c r="L46" s="608" t="inlineStr">
        <is>
          <t>Spark</t>
        </is>
      </c>
      <c r="M46" s="552" t="inlineStr">
        <is>
          <t>Blanco</t>
        </is>
      </c>
      <c r="N46" s="552" t="n"/>
      <c r="O46" s="552" t="n"/>
      <c r="P46" s="552" t="n"/>
      <c r="Q46" s="552" t="n"/>
      <c r="R46" s="552" t="n"/>
      <c r="S46" s="552" t="n"/>
      <c r="T46" s="552" t="n"/>
      <c r="U46" s="552" t="n"/>
      <c r="V46" s="552" t="n"/>
      <c r="W46" s="554" t="n"/>
      <c r="X46" s="609" t="n"/>
      <c r="Y46" s="610" t="n"/>
      <c r="Z46" s="610" t="n"/>
      <c r="AA46" s="609" t="n"/>
      <c r="AB46" s="611" t="n"/>
      <c r="AC46" s="612" t="n"/>
      <c r="AD46" s="312" t="n"/>
    </row>
    <row r="47" ht="16.8" customHeight="1">
      <c r="A47" s="273" t="n">
        <v>79754765</v>
      </c>
      <c r="B47" s="467" t="n"/>
      <c r="C47" s="233" t="n">
        <v>46121</v>
      </c>
      <c r="D47" s="642" t="n"/>
      <c r="E47" s="221" t="n">
        <v>42</v>
      </c>
      <c r="F47" s="243" t="n">
        <v>2019</v>
      </c>
      <c r="G47" s="606" t="n"/>
      <c r="H47" s="607" t="inlineStr">
        <is>
          <t xml:space="preserve">Mitsubishi </t>
        </is>
      </c>
      <c r="I47" s="606" t="n"/>
      <c r="J47" s="606" t="n"/>
      <c r="K47" s="606" t="n"/>
      <c r="L47" s="608" t="inlineStr">
        <is>
          <t>Mirage G4</t>
        </is>
      </c>
      <c r="M47" s="552" t="inlineStr">
        <is>
          <t>Azul</t>
        </is>
      </c>
      <c r="N47" s="552" t="n"/>
      <c r="O47" s="552" t="n"/>
      <c r="P47" s="552" t="n"/>
      <c r="Q47" s="552" t="n"/>
      <c r="R47" s="552" t="n"/>
      <c r="S47" s="552" t="n"/>
      <c r="T47" s="552" t="n"/>
      <c r="U47" s="552" t="n"/>
      <c r="V47" s="552" t="n"/>
      <c r="W47" s="554" t="n"/>
      <c r="X47" s="609" t="n"/>
      <c r="Y47" s="610" t="n"/>
      <c r="Z47" s="610" t="n"/>
      <c r="AA47" s="609" t="n"/>
      <c r="AB47" s="611" t="n"/>
      <c r="AC47" s="612" t="n"/>
      <c r="AD47" s="312" t="n"/>
    </row>
    <row r="48" ht="16.8" customHeight="1">
      <c r="A48" s="273" t="inlineStr">
        <is>
          <t>79257455</t>
        </is>
      </c>
      <c r="B48" s="467" t="n"/>
      <c r="C48" s="233" t="n">
        <v>46121</v>
      </c>
      <c r="D48" s="642" t="n"/>
      <c r="E48" s="221" t="n">
        <v>43</v>
      </c>
      <c r="F48" s="243" t="n">
        <v>2019</v>
      </c>
      <c r="G48" s="606" t="n"/>
      <c r="H48" s="607" t="inlineStr">
        <is>
          <t>Nissan</t>
        </is>
      </c>
      <c r="I48" s="606" t="n"/>
      <c r="J48" s="606" t="n"/>
      <c r="K48" s="606" t="n"/>
      <c r="L48" s="608" t="inlineStr">
        <is>
          <t>Sentra S</t>
        </is>
      </c>
      <c r="M48" s="552" t="inlineStr">
        <is>
          <t>Negro</t>
        </is>
      </c>
      <c r="N48" s="552" t="n"/>
      <c r="O48" s="552" t="n"/>
      <c r="P48" s="552" t="n"/>
      <c r="Q48" s="552" t="n"/>
      <c r="R48" s="552" t="n"/>
      <c r="S48" s="552" t="n"/>
      <c r="T48" s="552" t="n"/>
      <c r="U48" s="552" t="n"/>
      <c r="V48" s="552" t="n"/>
      <c r="W48" s="554" t="n"/>
      <c r="X48" s="609" t="n"/>
      <c r="Y48" s="610" t="n"/>
      <c r="Z48" s="610" t="n"/>
      <c r="AA48" s="609" t="n"/>
      <c r="AB48" s="611" t="n"/>
      <c r="AC48" s="612" t="n"/>
      <c r="AD48" s="312" t="n"/>
    </row>
    <row r="49" ht="16.8" customHeight="1">
      <c r="A49" s="273" t="inlineStr">
        <is>
          <t>45446786</t>
        </is>
      </c>
      <c r="B49" s="467" t="n"/>
      <c r="C49" s="233" t="n">
        <v>46121</v>
      </c>
      <c r="D49" s="642" t="n"/>
      <c r="E49" s="222" t="n">
        <v>44</v>
      </c>
      <c r="F49" s="243" t="n">
        <v>2019</v>
      </c>
      <c r="G49" s="606" t="n"/>
      <c r="H49" s="607" t="inlineStr">
        <is>
          <t xml:space="preserve">Kia </t>
        </is>
      </c>
      <c r="I49" s="606" t="n"/>
      <c r="J49" s="606" t="n"/>
      <c r="K49" s="606" t="n"/>
      <c r="L49" s="608" t="inlineStr">
        <is>
          <t>Forte LXS</t>
        </is>
      </c>
      <c r="M49" s="552" t="inlineStr">
        <is>
          <t xml:space="preserve">Gris </t>
        </is>
      </c>
      <c r="N49" s="552" t="n"/>
      <c r="O49" s="552" t="n"/>
      <c r="P49" s="552" t="n"/>
      <c r="Q49" s="552" t="n"/>
      <c r="R49" s="552" t="n"/>
      <c r="S49" s="552" t="n"/>
      <c r="T49" s="552" t="n"/>
      <c r="U49" s="552" t="n"/>
      <c r="V49" s="552" t="n"/>
      <c r="W49" s="554" t="n"/>
      <c r="X49" s="609" t="n"/>
      <c r="Y49" s="610" t="n"/>
      <c r="Z49" s="610" t="n"/>
      <c r="AA49" s="609" t="n"/>
      <c r="AB49" s="611" t="n"/>
      <c r="AC49" s="612" t="n"/>
      <c r="AD49" s="312" t="n"/>
    </row>
    <row r="50" ht="16.8" customHeight="1">
      <c r="A50" s="273" t="inlineStr">
        <is>
          <t>79469085</t>
        </is>
      </c>
      <c r="B50" s="467" t="n"/>
      <c r="C50" s="233" t="n">
        <v>46121</v>
      </c>
      <c r="D50" s="642" t="n"/>
      <c r="E50" s="221" t="n">
        <v>45</v>
      </c>
      <c r="F50" s="243" t="n">
        <v>2019</v>
      </c>
      <c r="G50" s="606" t="n"/>
      <c r="H50" s="607" t="inlineStr">
        <is>
          <t>Kia</t>
        </is>
      </c>
      <c r="I50" s="606" t="n"/>
      <c r="J50" s="606" t="n"/>
      <c r="K50" s="606" t="n"/>
      <c r="L50" s="608" t="inlineStr">
        <is>
          <t>Forte LXS</t>
        </is>
      </c>
      <c r="M50" s="552" t="inlineStr">
        <is>
          <t xml:space="preserve">Gris </t>
        </is>
      </c>
      <c r="N50" s="552" t="n"/>
      <c r="O50" s="552" t="n"/>
      <c r="P50" s="552" t="n"/>
      <c r="Q50" s="552" t="n"/>
      <c r="R50" s="552" t="n"/>
      <c r="S50" s="552" t="n"/>
      <c r="T50" s="552" t="n"/>
      <c r="U50" s="552" t="n"/>
      <c r="V50" s="552" t="n"/>
      <c r="W50" s="554" t="n"/>
      <c r="X50" s="609" t="n"/>
      <c r="Y50" s="610" t="n"/>
      <c r="Z50" s="610" t="n"/>
      <c r="AA50" s="609" t="n"/>
      <c r="AB50" s="611" t="n"/>
      <c r="AC50" s="612" t="n"/>
      <c r="AD50" s="312" t="n"/>
    </row>
    <row r="51" ht="16.8" customHeight="1">
      <c r="A51" s="273" t="inlineStr">
        <is>
          <t>72280635</t>
        </is>
      </c>
      <c r="B51" s="467" t="n"/>
      <c r="C51" s="233" t="n">
        <v>46122</v>
      </c>
      <c r="D51" s="642" t="n"/>
      <c r="E51" s="221" t="n">
        <v>46</v>
      </c>
      <c r="F51" s="243" t="n">
        <v>2019</v>
      </c>
      <c r="G51" s="606" t="n"/>
      <c r="H51" s="607" t="inlineStr">
        <is>
          <t xml:space="preserve">Hyudai </t>
        </is>
      </c>
      <c r="I51" s="606" t="n"/>
      <c r="J51" s="606" t="n"/>
      <c r="K51" s="606" t="n"/>
      <c r="L51" s="608" t="inlineStr">
        <is>
          <t>Elantra Sel</t>
        </is>
      </c>
      <c r="M51" s="552" t="inlineStr">
        <is>
          <t>Blanco</t>
        </is>
      </c>
      <c r="N51" s="552" t="n"/>
      <c r="O51" s="552" t="n"/>
      <c r="P51" s="552" t="n"/>
      <c r="Q51" s="552" t="n"/>
      <c r="R51" s="552" t="n"/>
      <c r="S51" s="552" t="n"/>
      <c r="T51" s="552" t="n"/>
      <c r="U51" s="552" t="n"/>
      <c r="V51" s="552" t="n"/>
      <c r="W51" s="554" t="n"/>
      <c r="X51" s="609" t="n"/>
      <c r="Y51" s="610" t="n"/>
      <c r="Z51" s="610" t="n"/>
      <c r="AA51" s="609" t="n"/>
      <c r="AB51" s="611" t="n"/>
      <c r="AC51" s="612" t="n"/>
      <c r="AD51" s="312" t="n"/>
    </row>
    <row r="52" ht="16.8" customHeight="1">
      <c r="A52" s="273" t="inlineStr">
        <is>
          <t>48641716</t>
        </is>
      </c>
      <c r="B52" s="467" t="n"/>
      <c r="C52" s="233" t="n">
        <v>46122</v>
      </c>
      <c r="D52" s="642" t="n"/>
      <c r="E52" s="222" t="n">
        <v>47</v>
      </c>
      <c r="F52" s="243" t="n">
        <v>2019</v>
      </c>
      <c r="G52" s="606" t="n"/>
      <c r="H52" s="607" t="inlineStr">
        <is>
          <t xml:space="preserve">Kia </t>
        </is>
      </c>
      <c r="I52" s="606" t="n"/>
      <c r="J52" s="606" t="n"/>
      <c r="K52" s="606" t="n"/>
      <c r="L52" s="608" t="inlineStr">
        <is>
          <t>Forte LXS</t>
        </is>
      </c>
      <c r="M52" s="552" t="inlineStr">
        <is>
          <t xml:space="preserve">Gris </t>
        </is>
      </c>
      <c r="N52" s="552" t="n"/>
      <c r="O52" s="552" t="n"/>
      <c r="P52" s="552" t="n"/>
      <c r="Q52" s="552" t="n"/>
      <c r="R52" s="552" t="n"/>
      <c r="S52" s="552" t="n"/>
      <c r="T52" s="552" t="n"/>
      <c r="U52" s="552" t="n"/>
      <c r="V52" s="552" t="n"/>
      <c r="W52" s="554" t="n"/>
      <c r="X52" s="609" t="n"/>
      <c r="Y52" s="610" t="n"/>
      <c r="Z52" s="610" t="n"/>
      <c r="AA52" s="609" t="n"/>
      <c r="AB52" s="611" t="n"/>
      <c r="AC52" s="612" t="n"/>
      <c r="AD52" s="312" t="n"/>
    </row>
    <row r="53" ht="16.8" customHeight="1">
      <c r="A53" s="273" t="inlineStr">
        <is>
          <t>47700856</t>
        </is>
      </c>
      <c r="B53" s="467" t="n"/>
      <c r="C53" s="233" t="n">
        <v>46122</v>
      </c>
      <c r="D53" s="642" t="n"/>
      <c r="E53" s="221" t="n">
        <v>48</v>
      </c>
      <c r="F53" s="243" t="n">
        <v>2019</v>
      </c>
      <c r="G53" s="606" t="n"/>
      <c r="H53" s="607" t="inlineStr">
        <is>
          <t>Nissan</t>
        </is>
      </c>
      <c r="I53" s="606" t="n"/>
      <c r="J53" s="606" t="n"/>
      <c r="K53" s="606" t="n"/>
      <c r="L53" s="608" t="inlineStr">
        <is>
          <t>Sentra S</t>
        </is>
      </c>
      <c r="M53" s="552" t="inlineStr">
        <is>
          <t>Negro</t>
        </is>
      </c>
      <c r="N53" s="552" t="n"/>
      <c r="O53" s="552" t="n"/>
      <c r="P53" s="552" t="n"/>
      <c r="Q53" s="552" t="n"/>
      <c r="R53" s="552" t="n"/>
      <c r="S53" s="552" t="n"/>
      <c r="T53" s="552" t="n"/>
      <c r="U53" s="552" t="n"/>
      <c r="V53" s="552" t="n"/>
      <c r="W53" s="554" t="n"/>
      <c r="X53" s="609" t="n"/>
      <c r="Y53" s="610" t="n"/>
      <c r="Z53" s="610" t="n"/>
      <c r="AA53" s="609" t="n"/>
      <c r="AB53" s="611" t="n"/>
      <c r="AC53" s="612" t="n"/>
      <c r="AD53" s="312" t="n"/>
    </row>
    <row r="54" ht="16.8" customHeight="1">
      <c r="A54" s="273" t="inlineStr">
        <is>
          <t>75036305</t>
        </is>
      </c>
      <c r="B54" s="467" t="n"/>
      <c r="C54" s="233" t="n">
        <v>46125</v>
      </c>
      <c r="D54" s="642" t="n"/>
      <c r="E54" s="221" t="n">
        <v>49</v>
      </c>
      <c r="F54" s="243" t="n">
        <v>2020</v>
      </c>
      <c r="G54" s="606" t="n"/>
      <c r="H54" s="607" t="inlineStr">
        <is>
          <t>Ford</t>
        </is>
      </c>
      <c r="I54" s="606" t="n"/>
      <c r="J54" s="606" t="n"/>
      <c r="K54" s="606" t="n"/>
      <c r="L54" s="608" t="inlineStr">
        <is>
          <t>Escape</t>
        </is>
      </c>
      <c r="M54" s="552" t="inlineStr">
        <is>
          <t>Rojo</t>
        </is>
      </c>
      <c r="N54" s="552" t="n"/>
      <c r="O54" s="552" t="n"/>
      <c r="P54" s="552" t="n"/>
      <c r="Q54" s="552" t="n"/>
      <c r="R54" s="552" t="n"/>
      <c r="S54" s="552" t="n"/>
      <c r="T54" s="552" t="n"/>
      <c r="U54" s="552" t="n"/>
      <c r="V54" s="552" t="n"/>
      <c r="W54" s="554" t="n"/>
      <c r="X54" s="609" t="n"/>
      <c r="Y54" s="610" t="n"/>
      <c r="Z54" s="610" t="n"/>
      <c r="AA54" s="609" t="n"/>
      <c r="AB54" s="611" t="n"/>
      <c r="AC54" s="612" t="n"/>
      <c r="AD54" s="312" t="n"/>
    </row>
    <row r="55" ht="16.8" customHeight="1">
      <c r="A55" s="273" t="inlineStr">
        <is>
          <t>41792376</t>
        </is>
      </c>
      <c r="B55" s="467" t="n"/>
      <c r="C55" s="233" t="n">
        <v>46125</v>
      </c>
      <c r="D55" s="642" t="n"/>
      <c r="E55" s="222" t="n">
        <v>50</v>
      </c>
      <c r="F55" s="243" t="n">
        <v>2019</v>
      </c>
      <c r="G55" s="606" t="n"/>
      <c r="H55" s="607" t="inlineStr">
        <is>
          <t xml:space="preserve">Chevrolet </t>
        </is>
      </c>
      <c r="I55" s="606" t="n"/>
      <c r="J55" s="606" t="n"/>
      <c r="K55" s="606" t="n"/>
      <c r="L55" s="608" t="inlineStr">
        <is>
          <t>Trax</t>
        </is>
      </c>
      <c r="M55" s="552" t="inlineStr">
        <is>
          <t>Blanco</t>
        </is>
      </c>
      <c r="N55" s="552" t="n"/>
      <c r="O55" s="552" t="n"/>
      <c r="P55" s="552" t="n"/>
      <c r="Q55" s="552" t="n"/>
      <c r="R55" s="552" t="n"/>
      <c r="S55" s="552" t="n"/>
      <c r="T55" s="552" t="n"/>
      <c r="U55" s="552" t="n"/>
      <c r="V55" s="552" t="n"/>
      <c r="W55" s="554" t="n"/>
      <c r="X55" s="609" t="n"/>
      <c r="Y55" s="610" t="n"/>
      <c r="Z55" s="610" t="n"/>
      <c r="AA55" s="609" t="n"/>
      <c r="AB55" s="611" t="n"/>
      <c r="AC55" s="612" t="n"/>
      <c r="AD55" s="312" t="n"/>
    </row>
    <row r="56" ht="16.8" customHeight="1">
      <c r="A56" s="273" t="inlineStr">
        <is>
          <t>98497435</t>
        </is>
      </c>
      <c r="B56" s="467" t="n"/>
      <c r="C56" s="233" t="n">
        <v>46125</v>
      </c>
      <c r="D56" s="642" t="n"/>
      <c r="E56" s="221" t="n">
        <v>51</v>
      </c>
      <c r="F56" s="243" t="n">
        <v>2019</v>
      </c>
      <c r="G56" s="606" t="n"/>
      <c r="H56" s="607" t="inlineStr">
        <is>
          <t xml:space="preserve">Kia </t>
        </is>
      </c>
      <c r="I56" s="606" t="n"/>
      <c r="J56" s="606" t="n"/>
      <c r="K56" s="606" t="n"/>
      <c r="L56" s="608" t="inlineStr">
        <is>
          <t>Forte</t>
        </is>
      </c>
      <c r="M56" s="552" t="inlineStr">
        <is>
          <t>Azul</t>
        </is>
      </c>
      <c r="N56" s="552" t="n"/>
      <c r="O56" s="552" t="n"/>
      <c r="P56" s="552" t="n"/>
      <c r="Q56" s="552" t="n"/>
      <c r="R56" s="552" t="n"/>
      <c r="S56" s="552" t="n"/>
      <c r="T56" s="552" t="n"/>
      <c r="U56" s="552" t="n"/>
      <c r="V56" s="552" t="n"/>
      <c r="W56" s="554" t="n"/>
      <c r="X56" s="609" t="n"/>
      <c r="Y56" s="610" t="n"/>
      <c r="Z56" s="610" t="n"/>
      <c r="AA56" s="609" t="n"/>
      <c r="AB56" s="611" t="n"/>
      <c r="AC56" s="612" t="n"/>
      <c r="AD56" s="312" t="n"/>
    </row>
    <row r="57" ht="16.8" customFormat="1" customHeight="1" s="335">
      <c r="A57" s="273" t="inlineStr">
        <is>
          <t>76232205</t>
        </is>
      </c>
      <c r="B57" s="467" t="n"/>
      <c r="C57" s="233" t="n">
        <v>46126</v>
      </c>
      <c r="D57" s="642" t="n"/>
      <c r="E57" s="221" t="n">
        <v>52</v>
      </c>
      <c r="F57" s="243" t="n">
        <v>2020</v>
      </c>
      <c r="G57" s="606" t="n"/>
      <c r="H57" s="607">
        <f>'COPART INC'!I56</f>
        <v/>
      </c>
      <c r="I57" s="606" t="n"/>
      <c r="J57" s="606" t="n"/>
      <c r="K57" s="606" t="n"/>
      <c r="L57" s="608">
        <f>'COPART INC'!M56</f>
        <v/>
      </c>
      <c r="M57" s="552" t="inlineStr">
        <is>
          <t>Blanco</t>
        </is>
      </c>
      <c r="N57" s="552" t="n"/>
      <c r="O57" s="552" t="n"/>
      <c r="P57" s="552" t="n"/>
      <c r="Q57" s="552" t="n"/>
      <c r="R57" s="552" t="n"/>
      <c r="S57" s="552" t="n"/>
      <c r="T57" s="552" t="n"/>
      <c r="U57" s="552" t="n"/>
      <c r="V57" s="552" t="n"/>
      <c r="W57" s="554" t="n"/>
      <c r="X57" s="609" t="n"/>
      <c r="Y57" s="610" t="n"/>
      <c r="Z57" s="610" t="n"/>
      <c r="AA57" s="609" t="n"/>
      <c r="AB57" s="611" t="n"/>
      <c r="AC57" s="612" t="n"/>
      <c r="AD57" s="312" t="n"/>
    </row>
    <row r="58" ht="16.8" customHeight="1">
      <c r="A58" s="273" t="inlineStr">
        <is>
          <t>78953595</t>
        </is>
      </c>
      <c r="B58" s="467" t="n"/>
      <c r="C58" s="233" t="n">
        <v>46126</v>
      </c>
      <c r="D58" s="642" t="n"/>
      <c r="E58" s="222" t="n">
        <v>53</v>
      </c>
      <c r="F58" s="243" t="n">
        <v>2020</v>
      </c>
      <c r="G58" s="606" t="n"/>
      <c r="H58" s="607" t="inlineStr">
        <is>
          <t>Hyundai</t>
        </is>
      </c>
      <c r="I58" s="606" t="n"/>
      <c r="J58" s="606" t="n"/>
      <c r="K58" s="606" t="n"/>
      <c r="L58" s="608" t="inlineStr">
        <is>
          <t>Elantra Sel</t>
        </is>
      </c>
      <c r="M58" s="552" t="inlineStr">
        <is>
          <t>Azul</t>
        </is>
      </c>
      <c r="N58" s="552" t="n"/>
      <c r="O58" s="552" t="n"/>
      <c r="P58" s="552" t="n"/>
      <c r="Q58" s="552" t="n"/>
      <c r="R58" s="552" t="n"/>
      <c r="S58" s="552" t="n"/>
      <c r="T58" s="552" t="n"/>
      <c r="U58" s="552" t="n"/>
      <c r="V58" s="552" t="n"/>
      <c r="W58" s="554" t="n"/>
      <c r="X58" s="609" t="n"/>
      <c r="Y58" s="610" t="n"/>
      <c r="Z58" s="610" t="n"/>
      <c r="AA58" s="609" t="n"/>
      <c r="AB58" s="611" t="n"/>
      <c r="AC58" s="612" t="n"/>
      <c r="AD58" s="312" t="n"/>
    </row>
    <row r="59" ht="16.8" customHeight="1">
      <c r="A59" s="273" t="inlineStr">
        <is>
          <t>75247785</t>
        </is>
      </c>
      <c r="B59" s="467" t="n"/>
      <c r="C59" s="233" t="n">
        <v>46126</v>
      </c>
      <c r="D59" s="642" t="n"/>
      <c r="E59" s="221" t="n">
        <v>54</v>
      </c>
      <c r="F59" s="243" t="n">
        <v>2020</v>
      </c>
      <c r="G59" s="606" t="n"/>
      <c r="H59" s="607" t="inlineStr">
        <is>
          <t xml:space="preserve">Kia </t>
        </is>
      </c>
      <c r="I59" s="606" t="n"/>
      <c r="J59" s="606" t="n"/>
      <c r="K59" s="606" t="n"/>
      <c r="L59" s="608" t="inlineStr">
        <is>
          <t>Rio</t>
        </is>
      </c>
      <c r="M59" s="552" t="inlineStr">
        <is>
          <t>Blanco</t>
        </is>
      </c>
      <c r="N59" s="552" t="n"/>
      <c r="O59" s="552" t="n"/>
      <c r="P59" s="552" t="n"/>
      <c r="Q59" s="552" t="n"/>
      <c r="R59" s="552" t="n"/>
      <c r="S59" s="552" t="n"/>
      <c r="T59" s="552" t="n"/>
      <c r="U59" s="552" t="n"/>
      <c r="V59" s="552" t="n"/>
      <c r="W59" s="554" t="n"/>
      <c r="X59" s="609" t="n"/>
      <c r="Y59" s="610" t="n"/>
      <c r="Z59" s="610" t="n"/>
      <c r="AA59" s="609" t="n"/>
      <c r="AB59" s="611" t="n"/>
      <c r="AC59" s="612" t="n"/>
      <c r="AD59" s="312" t="n"/>
    </row>
    <row r="60" ht="16.8" customHeight="1">
      <c r="A60" s="273" t="inlineStr">
        <is>
          <t>99762885</t>
        </is>
      </c>
      <c r="B60" s="467" t="n"/>
      <c r="C60" s="233" t="n">
        <v>46127</v>
      </c>
      <c r="D60" s="642" t="n"/>
      <c r="E60" s="221" t="n">
        <v>55</v>
      </c>
      <c r="F60" s="243" t="n">
        <v>2023</v>
      </c>
      <c r="G60" s="606" t="n"/>
      <c r="H60" s="607" t="inlineStr">
        <is>
          <t xml:space="preserve"> Hyundai</t>
        </is>
      </c>
      <c r="I60" s="606" t="n"/>
      <c r="J60" s="606" t="n"/>
      <c r="K60" s="606" t="n"/>
      <c r="L60" s="608" t="inlineStr">
        <is>
          <t>Elantra</t>
        </is>
      </c>
      <c r="M60" s="552" t="inlineStr">
        <is>
          <t>Blanco</t>
        </is>
      </c>
      <c r="N60" s="552" t="n"/>
      <c r="O60" s="552" t="n"/>
      <c r="P60" s="552" t="n"/>
      <c r="Q60" s="552" t="n"/>
      <c r="R60" s="552" t="n"/>
      <c r="S60" s="552" t="n"/>
      <c r="T60" s="552" t="n"/>
      <c r="U60" s="552" t="n"/>
      <c r="V60" s="552" t="n"/>
      <c r="W60" s="554" t="n"/>
      <c r="X60" s="609" t="n"/>
      <c r="Y60" s="610" t="n"/>
      <c r="Z60" s="610" t="n"/>
      <c r="AA60" s="609" t="n"/>
      <c r="AB60" s="611" t="n"/>
      <c r="AC60" s="612" t="n"/>
      <c r="AD60" s="312" t="n"/>
    </row>
    <row r="61" ht="16.8" customHeight="1">
      <c r="A61" s="273" t="inlineStr">
        <is>
          <t>47168356</t>
        </is>
      </c>
      <c r="B61" s="467" t="n"/>
      <c r="C61" s="233" t="n">
        <v>46127</v>
      </c>
      <c r="D61" s="642" t="n"/>
      <c r="E61" s="222" t="n">
        <v>56</v>
      </c>
      <c r="F61" s="243" t="n">
        <v>2025</v>
      </c>
      <c r="G61" s="606" t="n"/>
      <c r="H61" s="607" t="inlineStr">
        <is>
          <t xml:space="preserve">Kia </t>
        </is>
      </c>
      <c r="I61" s="606" t="n"/>
      <c r="J61" s="606" t="n"/>
      <c r="K61" s="606" t="n"/>
      <c r="L61" s="608" t="inlineStr">
        <is>
          <t>K4 EX</t>
        </is>
      </c>
      <c r="M61" s="552" t="inlineStr">
        <is>
          <t>Negro</t>
        </is>
      </c>
      <c r="N61" s="552" t="n"/>
      <c r="O61" s="552" t="n"/>
      <c r="P61" s="552" t="n"/>
      <c r="Q61" s="552" t="n"/>
      <c r="R61" s="552" t="n"/>
      <c r="S61" s="552" t="n"/>
      <c r="T61" s="552" t="n"/>
      <c r="U61" s="552" t="n"/>
      <c r="V61" s="552" t="n"/>
      <c r="W61" s="554" t="n"/>
      <c r="X61" s="609" t="n"/>
      <c r="Y61" s="610" t="n"/>
      <c r="Z61" s="610" t="n"/>
      <c r="AA61" s="609" t="n"/>
      <c r="AB61" s="611" t="n"/>
      <c r="AC61" s="612" t="n"/>
      <c r="AD61" s="312" t="n"/>
    </row>
    <row r="62" ht="16.8" customHeight="1">
      <c r="A62" s="273" t="inlineStr">
        <is>
          <t>79611945</t>
        </is>
      </c>
      <c r="B62" s="467" t="n"/>
      <c r="C62" s="233" t="n">
        <v>46127</v>
      </c>
      <c r="D62" s="642" t="n"/>
      <c r="E62" s="221" t="n">
        <v>57</v>
      </c>
      <c r="F62" s="243" t="n">
        <v>2022</v>
      </c>
      <c r="G62" s="606" t="n"/>
      <c r="H62" s="607" t="inlineStr">
        <is>
          <t>Toyota</t>
        </is>
      </c>
      <c r="I62" s="606" t="n"/>
      <c r="J62" s="606" t="n"/>
      <c r="K62" s="606" t="n"/>
      <c r="L62" s="608" t="inlineStr">
        <is>
          <t>Corolla</t>
        </is>
      </c>
      <c r="M62" s="552" t="inlineStr">
        <is>
          <t>Rojo</t>
        </is>
      </c>
      <c r="N62" s="552" t="n"/>
      <c r="O62" s="552" t="n"/>
      <c r="P62" s="552" t="n"/>
      <c r="Q62" s="552" t="n"/>
      <c r="R62" s="552" t="n"/>
      <c r="S62" s="552" t="n"/>
      <c r="T62" s="552" t="n"/>
      <c r="U62" s="552" t="n"/>
      <c r="V62" s="552" t="n"/>
      <c r="W62" s="554" t="n"/>
      <c r="X62" s="609" t="n"/>
      <c r="Y62" s="610" t="n"/>
      <c r="Z62" s="610" t="n"/>
      <c r="AA62" s="609" t="n"/>
      <c r="AB62" s="611" t="n"/>
      <c r="AC62" s="612" t="n"/>
      <c r="AD62" s="312" t="n"/>
    </row>
    <row r="63" ht="16.8" customHeight="1">
      <c r="A63" s="273" t="inlineStr">
        <is>
          <t>74935815</t>
        </is>
      </c>
      <c r="B63" s="467" t="n"/>
      <c r="C63" s="233" t="n">
        <v>46128</v>
      </c>
      <c r="D63" s="642" t="n"/>
      <c r="E63" s="221" t="n">
        <v>58</v>
      </c>
      <c r="F63" s="243" t="n">
        <v>2021</v>
      </c>
      <c r="G63" s="606" t="n"/>
      <c r="H63" s="607" t="inlineStr">
        <is>
          <t>Hyundai</t>
        </is>
      </c>
      <c r="I63" s="606" t="n"/>
      <c r="J63" s="606" t="n"/>
      <c r="K63" s="606" t="n"/>
      <c r="L63" s="608" t="inlineStr">
        <is>
          <t>Elantra SEl</t>
        </is>
      </c>
      <c r="M63" s="552" t="inlineStr">
        <is>
          <t>Azul</t>
        </is>
      </c>
      <c r="N63" s="552" t="n"/>
      <c r="O63" s="552" t="n"/>
      <c r="P63" s="552" t="n"/>
      <c r="Q63" s="552" t="n"/>
      <c r="R63" s="552" t="n"/>
      <c r="S63" s="552" t="n"/>
      <c r="T63" s="552" t="n"/>
      <c r="U63" s="552" t="n"/>
      <c r="V63" s="552" t="n"/>
      <c r="W63" s="554" t="n"/>
      <c r="X63" s="609" t="n"/>
      <c r="Y63" s="610" t="n"/>
      <c r="Z63" s="610" t="n"/>
      <c r="AA63" s="609" t="n"/>
      <c r="AB63" s="611" t="n"/>
      <c r="AC63" s="612" t="n"/>
      <c r="AD63" s="312" t="n"/>
    </row>
    <row r="64" ht="16.8" customHeight="1">
      <c r="A64" s="273" t="inlineStr">
        <is>
          <t>74371655</t>
        </is>
      </c>
      <c r="B64" s="467" t="n"/>
      <c r="C64" s="233" t="n">
        <v>46128</v>
      </c>
      <c r="D64" s="642" t="n"/>
      <c r="E64" s="222" t="n">
        <v>59</v>
      </c>
      <c r="F64" s="243" t="n">
        <v>2019</v>
      </c>
      <c r="G64" s="606" t="n"/>
      <c r="H64" s="607" t="inlineStr">
        <is>
          <t xml:space="preserve">Mitsubishi </t>
        </is>
      </c>
      <c r="I64" s="606" t="n"/>
      <c r="J64" s="606" t="n"/>
      <c r="K64" s="606" t="n"/>
      <c r="L64" s="608" t="inlineStr">
        <is>
          <t>Mirage LE</t>
        </is>
      </c>
      <c r="M64" s="552" t="inlineStr">
        <is>
          <t>Silver</t>
        </is>
      </c>
      <c r="N64" s="552" t="n"/>
      <c r="O64" s="552" t="n"/>
      <c r="P64" s="552" t="n"/>
      <c r="Q64" s="552" t="n"/>
      <c r="R64" s="552" t="n"/>
      <c r="S64" s="552" t="n"/>
      <c r="T64" s="552" t="n"/>
      <c r="U64" s="552" t="n"/>
      <c r="V64" s="552" t="n"/>
      <c r="W64" s="554" t="n"/>
      <c r="X64" s="609" t="n"/>
      <c r="Y64" s="610" t="n"/>
      <c r="Z64" s="610" t="n"/>
      <c r="AA64" s="609" t="n"/>
      <c r="AB64" s="611" t="n"/>
      <c r="AC64" s="612" t="n"/>
      <c r="AD64" s="312" t="n"/>
    </row>
    <row r="65" ht="16.8" customHeight="1">
      <c r="A65" s="273" t="inlineStr">
        <is>
          <t>46016746</t>
        </is>
      </c>
      <c r="B65" s="467" t="n"/>
      <c r="C65" s="233" t="n">
        <v>46160</v>
      </c>
      <c r="D65" s="642" t="n"/>
      <c r="E65" s="221" t="n">
        <v>60</v>
      </c>
      <c r="F65" s="243" t="n">
        <v>2019</v>
      </c>
      <c r="G65" s="606" t="n"/>
      <c r="H65" s="607" t="inlineStr">
        <is>
          <t>Hyundai</t>
        </is>
      </c>
      <c r="I65" s="606" t="n"/>
      <c r="J65" s="606" t="n"/>
      <c r="K65" s="606" t="n"/>
      <c r="L65" s="608" t="inlineStr">
        <is>
          <t>Veloster</t>
        </is>
      </c>
      <c r="M65" s="552" t="inlineStr">
        <is>
          <t>Negro</t>
        </is>
      </c>
      <c r="N65" s="552" t="n"/>
      <c r="O65" s="552" t="n"/>
      <c r="P65" s="552" t="n"/>
      <c r="Q65" s="552" t="n"/>
      <c r="R65" s="552" t="n"/>
      <c r="S65" s="552" t="n"/>
      <c r="T65" s="552" t="n"/>
      <c r="U65" s="552" t="n"/>
      <c r="V65" s="552" t="n"/>
      <c r="W65" s="554" t="n"/>
      <c r="X65" s="609" t="n"/>
      <c r="Y65" s="610" t="n"/>
      <c r="Z65" s="610" t="n"/>
      <c r="AA65" s="609" t="n"/>
      <c r="AB65" s="611" t="n"/>
      <c r="AC65" s="612" t="n"/>
      <c r="AD65" s="312" t="n"/>
    </row>
    <row r="66" ht="16.8" customHeight="1">
      <c r="A66" s="273" t="inlineStr">
        <is>
          <t>49368466</t>
        </is>
      </c>
      <c r="B66" s="467" t="n"/>
      <c r="C66" s="233" t="n">
        <v>46160</v>
      </c>
      <c r="D66" s="642" t="n"/>
      <c r="E66" s="221" t="n">
        <v>61</v>
      </c>
      <c r="F66" s="243" t="n">
        <v>2020</v>
      </c>
      <c r="G66" s="606" t="n"/>
      <c r="H66" s="607" t="inlineStr">
        <is>
          <t xml:space="preserve">Kia </t>
        </is>
      </c>
      <c r="I66" s="606" t="n"/>
      <c r="J66" s="606" t="n"/>
      <c r="K66" s="606" t="n"/>
      <c r="L66" s="608" t="inlineStr">
        <is>
          <t>Rio</t>
        </is>
      </c>
      <c r="M66" s="552" t="inlineStr">
        <is>
          <t xml:space="preserve">Gris </t>
        </is>
      </c>
      <c r="N66" s="552" t="n"/>
      <c r="O66" s="552" t="n"/>
      <c r="P66" s="552" t="n"/>
      <c r="Q66" s="552" t="n"/>
      <c r="R66" s="552" t="n"/>
      <c r="S66" s="552" t="n"/>
      <c r="T66" s="552" t="n"/>
      <c r="U66" s="552" t="n"/>
      <c r="V66" s="552" t="n"/>
      <c r="W66" s="554" t="n"/>
      <c r="X66" s="609" t="n"/>
      <c r="Y66" s="610" t="n"/>
      <c r="Z66" s="610" t="n"/>
      <c r="AA66" s="609" t="n"/>
      <c r="AB66" s="611" t="n"/>
      <c r="AC66" s="612" t="n"/>
      <c r="AD66" s="312" t="n"/>
    </row>
    <row r="67" ht="16.8" customHeight="1">
      <c r="A67" s="273" t="inlineStr">
        <is>
          <t>78815315</t>
        </is>
      </c>
      <c r="B67" s="467" t="n"/>
      <c r="C67" s="233" t="n">
        <v>46160</v>
      </c>
      <c r="D67" s="642" t="n"/>
      <c r="E67" s="222" t="n">
        <v>62</v>
      </c>
      <c r="F67" s="243" t="n">
        <v>2019</v>
      </c>
      <c r="G67" s="606" t="n"/>
      <c r="H67" s="607" t="inlineStr">
        <is>
          <t>Nissan</t>
        </is>
      </c>
      <c r="I67" s="606" t="n"/>
      <c r="J67" s="606" t="n"/>
      <c r="K67" s="606" t="n"/>
      <c r="L67" s="608" t="inlineStr">
        <is>
          <t xml:space="preserve">Sentra </t>
        </is>
      </c>
      <c r="M67" s="552" t="inlineStr">
        <is>
          <t xml:space="preserve">Gris </t>
        </is>
      </c>
      <c r="N67" s="552" t="n"/>
      <c r="O67" s="552" t="n"/>
      <c r="P67" s="552" t="n"/>
      <c r="Q67" s="552" t="n"/>
      <c r="R67" s="552" t="n"/>
      <c r="S67" s="552" t="n"/>
      <c r="T67" s="552" t="n"/>
      <c r="U67" s="552" t="n"/>
      <c r="V67" s="552" t="n"/>
      <c r="W67" s="554" t="n"/>
      <c r="X67" s="609" t="n"/>
      <c r="Y67" s="610" t="n"/>
      <c r="Z67" s="610" t="n"/>
      <c r="AA67" s="609" t="n"/>
      <c r="AB67" s="611" t="n"/>
      <c r="AC67" s="612" t="n"/>
      <c r="AD67" s="312" t="n"/>
    </row>
    <row r="68" ht="16.8" customHeight="1">
      <c r="A68" s="273" t="inlineStr">
        <is>
          <t>52164596</t>
        </is>
      </c>
      <c r="B68" s="467" t="n"/>
      <c r="C68" s="233" t="n">
        <v>46161</v>
      </c>
      <c r="D68" s="642" t="n"/>
      <c r="E68" s="221" t="n">
        <v>63</v>
      </c>
      <c r="F68" s="243" t="n">
        <v>2020</v>
      </c>
      <c r="G68" s="606" t="n"/>
      <c r="H68" s="607" t="inlineStr">
        <is>
          <t xml:space="preserve">Chevrolet </t>
        </is>
      </c>
      <c r="I68" s="606" t="n"/>
      <c r="J68" s="606" t="n"/>
      <c r="K68" s="606" t="n"/>
      <c r="L68" s="608" t="inlineStr">
        <is>
          <t>Spark 1LT</t>
        </is>
      </c>
      <c r="M68" s="552" t="inlineStr">
        <is>
          <t>Silver</t>
        </is>
      </c>
      <c r="N68" s="552" t="n"/>
      <c r="O68" s="552" t="n"/>
      <c r="P68" s="552" t="n"/>
      <c r="Q68" s="552" t="n"/>
      <c r="R68" s="552" t="n"/>
      <c r="S68" s="552" t="n"/>
      <c r="T68" s="552" t="n"/>
      <c r="U68" s="552" t="n"/>
      <c r="V68" s="552" t="n"/>
      <c r="W68" s="554" t="n"/>
      <c r="X68" s="609" t="n"/>
      <c r="Y68" s="610" t="n"/>
      <c r="Z68" s="610" t="n"/>
      <c r="AA68" s="609" t="n"/>
      <c r="AB68" s="611" t="n"/>
      <c r="AC68" s="612" t="n"/>
      <c r="AD68" s="312" t="n"/>
    </row>
    <row r="69" ht="16.8" customHeight="1">
      <c r="A69" s="273" t="inlineStr">
        <is>
          <t>48356166</t>
        </is>
      </c>
      <c r="B69" s="467" t="n"/>
      <c r="C69" s="233" t="n">
        <v>46161</v>
      </c>
      <c r="D69" s="642" t="n"/>
      <c r="E69" s="221" t="n">
        <v>64</v>
      </c>
      <c r="F69" s="243" t="n">
        <v>2022</v>
      </c>
      <c r="G69" s="606" t="n"/>
      <c r="H69" s="607" t="inlineStr">
        <is>
          <t>Nissan</t>
        </is>
      </c>
      <c r="I69" s="606" t="n"/>
      <c r="J69" s="606" t="n"/>
      <c r="K69" s="606" t="n"/>
      <c r="L69" s="608" t="inlineStr">
        <is>
          <t>Versa SV</t>
        </is>
      </c>
      <c r="M69" s="552" t="inlineStr">
        <is>
          <t>Silver</t>
        </is>
      </c>
      <c r="N69" s="552" t="n"/>
      <c r="O69" s="552" t="n"/>
      <c r="P69" s="552" t="n"/>
      <c r="Q69" s="552" t="n"/>
      <c r="R69" s="552" t="n"/>
      <c r="S69" s="552" t="n"/>
      <c r="T69" s="552" t="n"/>
      <c r="U69" s="552" t="n"/>
      <c r="V69" s="552" t="n"/>
      <c r="W69" s="554" t="n"/>
      <c r="X69" s="609" t="n"/>
      <c r="Y69" s="610" t="n"/>
      <c r="Z69" s="610" t="n"/>
      <c r="AA69" s="609" t="n"/>
      <c r="AB69" s="611" t="n"/>
      <c r="AC69" s="612" t="n"/>
      <c r="AD69" s="312" t="n"/>
    </row>
    <row r="70" ht="16.8" customHeight="1">
      <c r="A70" s="273" t="inlineStr">
        <is>
          <t>50007056</t>
        </is>
      </c>
      <c r="B70" s="467" t="n"/>
      <c r="C70" s="233" t="n">
        <v>46161</v>
      </c>
      <c r="D70" s="642" t="n"/>
      <c r="E70" s="222" t="n">
        <v>65</v>
      </c>
      <c r="F70" s="243" t="n">
        <v>2020</v>
      </c>
      <c r="G70" s="606" t="n"/>
      <c r="H70" s="607" t="inlineStr">
        <is>
          <t>Kia</t>
        </is>
      </c>
      <c r="I70" s="606" t="n"/>
      <c r="J70" s="606" t="n"/>
      <c r="K70" s="606" t="n"/>
      <c r="L70" s="608" t="inlineStr">
        <is>
          <t>Soul GT</t>
        </is>
      </c>
      <c r="M70" s="552" t="inlineStr">
        <is>
          <t xml:space="preserve">Gris </t>
        </is>
      </c>
      <c r="N70" s="552" t="n"/>
      <c r="O70" s="552" t="n"/>
      <c r="P70" s="552" t="n"/>
      <c r="Q70" s="552" t="n"/>
      <c r="R70" s="552" t="n"/>
      <c r="S70" s="552" t="n"/>
      <c r="T70" s="552" t="n"/>
      <c r="U70" s="552" t="n"/>
      <c r="V70" s="552" t="n"/>
      <c r="W70" s="554" t="n"/>
      <c r="X70" s="609" t="n"/>
      <c r="Y70" s="610" t="n"/>
      <c r="Z70" s="610" t="n"/>
      <c r="AA70" s="609" t="n"/>
      <c r="AB70" s="611" t="n"/>
      <c r="AC70" s="612" t="n"/>
      <c r="AD70" s="312" t="n"/>
    </row>
    <row r="71" ht="16.8" customHeight="1">
      <c r="A71" s="273" t="inlineStr">
        <is>
          <t>78974315</t>
        </is>
      </c>
      <c r="B71" s="467" t="n"/>
      <c r="C71" s="233" t="n">
        <v>46164</v>
      </c>
      <c r="D71" s="642" t="n"/>
      <c r="E71" s="221" t="n">
        <v>66</v>
      </c>
      <c r="F71" s="243" t="n">
        <v>2019</v>
      </c>
      <c r="G71" s="606" t="n"/>
      <c r="H71" s="607" t="inlineStr">
        <is>
          <t xml:space="preserve">Chevrolet </t>
        </is>
      </c>
      <c r="I71" s="606" t="n"/>
      <c r="J71" s="606" t="n"/>
      <c r="K71" s="606" t="n"/>
      <c r="L71" s="608" t="inlineStr">
        <is>
          <t>Trax</t>
        </is>
      </c>
      <c r="M71" s="552" t="inlineStr">
        <is>
          <t>Blanco</t>
        </is>
      </c>
      <c r="N71" s="552" t="n"/>
      <c r="O71" s="552" t="n"/>
      <c r="P71" s="552" t="n"/>
      <c r="Q71" s="552" t="n"/>
      <c r="R71" s="552" t="n"/>
      <c r="S71" s="552" t="n"/>
      <c r="T71" s="552" t="n"/>
      <c r="U71" s="552" t="n"/>
      <c r="V71" s="552" t="n"/>
      <c r="W71" s="554" t="n"/>
      <c r="X71" s="609" t="n"/>
      <c r="Y71" s="610" t="n"/>
      <c r="Z71" s="610" t="n"/>
      <c r="AA71" s="609" t="n"/>
      <c r="AB71" s="611" t="n"/>
      <c r="AC71" s="612" t="n"/>
      <c r="AD71" s="312" t="n"/>
    </row>
    <row r="72" ht="16.8" customHeight="1">
      <c r="A72" s="273" t="inlineStr">
        <is>
          <t>45601786</t>
        </is>
      </c>
      <c r="B72" s="467" t="n"/>
      <c r="C72" s="233" t="n">
        <v>46164</v>
      </c>
      <c r="D72" s="642" t="n"/>
      <c r="E72" s="222" t="n">
        <v>67</v>
      </c>
      <c r="F72" s="243" t="n">
        <v>2021</v>
      </c>
      <c r="G72" s="606" t="n"/>
      <c r="H72" s="607" t="inlineStr">
        <is>
          <t>Nissan</t>
        </is>
      </c>
      <c r="I72" s="606" t="n"/>
      <c r="J72" s="606" t="n"/>
      <c r="K72" s="606" t="n"/>
      <c r="L72" s="608" t="inlineStr">
        <is>
          <t>Versa SV</t>
        </is>
      </c>
      <c r="M72" s="552" t="inlineStr">
        <is>
          <t xml:space="preserve">Gris </t>
        </is>
      </c>
      <c r="N72" s="552" t="n"/>
      <c r="O72" s="552" t="n"/>
      <c r="P72" s="552" t="n"/>
      <c r="Q72" s="552" t="n"/>
      <c r="R72" s="552" t="n"/>
      <c r="S72" s="552" t="n"/>
      <c r="T72" s="552" t="n"/>
      <c r="U72" s="552" t="n"/>
      <c r="V72" s="552" t="n"/>
      <c r="W72" s="554" t="n"/>
      <c r="X72" s="609" t="n"/>
      <c r="Y72" s="610" t="n"/>
      <c r="Z72" s="610" t="n"/>
      <c r="AA72" s="609" t="n"/>
      <c r="AB72" s="611" t="n"/>
      <c r="AC72" s="612" t="n"/>
      <c r="AD72" s="312" t="n"/>
    </row>
    <row r="73" ht="16.8" customHeight="1">
      <c r="A73" s="273" t="inlineStr">
        <is>
          <t>47293036</t>
        </is>
      </c>
      <c r="B73" s="467" t="n"/>
      <c r="C73" s="233" t="n">
        <v>46164</v>
      </c>
      <c r="D73" s="642" t="n"/>
      <c r="E73" s="221" t="n">
        <v>68</v>
      </c>
      <c r="F73" s="243" t="n">
        <v>2020</v>
      </c>
      <c r="G73" s="606" t="n"/>
      <c r="H73" s="238" t="inlineStr">
        <is>
          <t>Hyundai</t>
        </is>
      </c>
      <c r="I73" s="606" t="n"/>
      <c r="J73" s="606" t="n"/>
      <c r="K73" s="606" t="n"/>
      <c r="L73" s="608" t="inlineStr">
        <is>
          <t>Accent</t>
        </is>
      </c>
      <c r="M73" s="552" t="inlineStr">
        <is>
          <t>Azul</t>
        </is>
      </c>
      <c r="N73" s="552" t="n"/>
      <c r="O73" s="552" t="n"/>
      <c r="P73" s="552" t="n"/>
      <c r="Q73" s="552" t="n"/>
      <c r="R73" s="552" t="n"/>
      <c r="S73" s="552" t="n"/>
      <c r="T73" s="552" t="n"/>
      <c r="U73" s="552" t="n"/>
      <c r="V73" s="552" t="n"/>
      <c r="W73" s="554" t="n"/>
      <c r="X73" s="609" t="n"/>
      <c r="Y73" s="610" t="n"/>
      <c r="Z73" s="610" t="n"/>
      <c r="AA73" s="609" t="n"/>
      <c r="AB73" s="611" t="n"/>
      <c r="AC73" s="612" t="n"/>
      <c r="AD73" s="312" t="n"/>
    </row>
    <row r="74" ht="16.8" customHeight="1">
      <c r="A74" s="273" t="inlineStr">
        <is>
          <t>50210906</t>
        </is>
      </c>
      <c r="B74" s="467" t="n"/>
      <c r="C74" s="233" t="n">
        <v>46164</v>
      </c>
      <c r="D74" s="642" t="n"/>
      <c r="E74" s="222" t="n">
        <v>69</v>
      </c>
      <c r="F74" s="243" t="n">
        <v>2019</v>
      </c>
      <c r="G74" s="606" t="n"/>
      <c r="H74" s="607" t="inlineStr">
        <is>
          <t>Nissan</t>
        </is>
      </c>
      <c r="I74" s="606" t="n"/>
      <c r="J74" s="606" t="n"/>
      <c r="K74" s="606" t="n"/>
      <c r="L74" s="608" t="inlineStr">
        <is>
          <t xml:space="preserve">Sentra </t>
        </is>
      </c>
      <c r="M74" s="552" t="inlineStr">
        <is>
          <t>Negro</t>
        </is>
      </c>
      <c r="N74" s="552" t="n"/>
      <c r="O74" s="552" t="n"/>
      <c r="P74" s="552" t="n"/>
      <c r="Q74" s="552" t="n"/>
      <c r="R74" s="552" t="n"/>
      <c r="S74" s="552" t="n"/>
      <c r="T74" s="552" t="n"/>
      <c r="U74" s="552" t="n"/>
      <c r="V74" s="552" t="n"/>
      <c r="W74" s="554" t="n"/>
      <c r="X74" s="609" t="n"/>
      <c r="Y74" s="610" t="n"/>
      <c r="Z74" s="610" t="n"/>
      <c r="AA74" s="609" t="n"/>
      <c r="AB74" s="611" t="n"/>
      <c r="AC74" s="612" t="n"/>
      <c r="AD74" s="312" t="n"/>
    </row>
    <row r="75" ht="16.8" customHeight="1">
      <c r="A75" s="273" t="inlineStr">
        <is>
          <t>79531565</t>
        </is>
      </c>
      <c r="B75" s="467" t="n"/>
      <c r="C75" s="233" t="n">
        <v>46168</v>
      </c>
      <c r="D75" s="642" t="n"/>
      <c r="E75" s="221" t="n">
        <v>70</v>
      </c>
      <c r="F75" s="243" t="n">
        <v>2021</v>
      </c>
      <c r="G75" s="606" t="n"/>
      <c r="H75" s="607" t="inlineStr">
        <is>
          <t>Ford</t>
        </is>
      </c>
      <c r="I75" s="606" t="n"/>
      <c r="J75" s="606" t="n"/>
      <c r="K75" s="606" t="n"/>
      <c r="L75" s="608" t="inlineStr">
        <is>
          <t>Ecosport</t>
        </is>
      </c>
      <c r="M75" s="552" t="inlineStr">
        <is>
          <t>Blanco</t>
        </is>
      </c>
      <c r="N75" s="552" t="n"/>
      <c r="O75" s="552" t="n"/>
      <c r="P75" s="552" t="n"/>
      <c r="Q75" s="552" t="n"/>
      <c r="R75" s="552" t="n"/>
      <c r="S75" s="552" t="n"/>
      <c r="T75" s="552" t="n"/>
      <c r="U75" s="552" t="n"/>
      <c r="V75" s="552" t="n"/>
      <c r="W75" s="554" t="n"/>
      <c r="X75" s="609" t="n"/>
      <c r="Y75" s="610" t="n"/>
      <c r="Z75" s="610" t="n"/>
      <c r="AA75" s="609" t="n"/>
      <c r="AB75" s="611" t="n"/>
      <c r="AC75" s="612" t="n"/>
      <c r="AD75" s="312" t="n"/>
    </row>
    <row r="76" ht="16.8" customHeight="1">
      <c r="A76" s="273" t="inlineStr">
        <is>
          <t>75348225</t>
        </is>
      </c>
      <c r="B76" s="467" t="n"/>
      <c r="C76" s="233" t="n">
        <v>46168</v>
      </c>
      <c r="D76" s="642" t="n"/>
      <c r="E76" s="221" t="n">
        <v>71</v>
      </c>
      <c r="F76" s="243" t="n">
        <v>2022</v>
      </c>
      <c r="G76" s="606" t="n"/>
      <c r="H76" s="607" t="inlineStr">
        <is>
          <t xml:space="preserve">Kia </t>
        </is>
      </c>
      <c r="I76" s="606" t="n"/>
      <c r="J76" s="606" t="n"/>
      <c r="K76" s="606" t="n"/>
      <c r="L76" s="608" t="inlineStr">
        <is>
          <t>Rio LX</t>
        </is>
      </c>
      <c r="M76" s="552" t="inlineStr">
        <is>
          <t>Negro</t>
        </is>
      </c>
      <c r="N76" s="552" t="n"/>
      <c r="O76" s="552" t="n"/>
      <c r="P76" s="552" t="n"/>
      <c r="Q76" s="552" t="n"/>
      <c r="R76" s="552" t="n"/>
      <c r="S76" s="552" t="n"/>
      <c r="T76" s="552" t="n"/>
      <c r="U76" s="552" t="n"/>
      <c r="V76" s="552" t="n"/>
      <c r="W76" s="554" t="n"/>
      <c r="X76" s="609" t="n"/>
      <c r="Y76" s="610" t="n"/>
      <c r="Z76" s="610" t="n"/>
      <c r="AA76" s="609" t="n"/>
      <c r="AB76" s="611" t="n"/>
      <c r="AC76" s="612" t="n"/>
      <c r="AD76" s="312" t="n"/>
    </row>
    <row r="77" ht="16.8" customHeight="1">
      <c r="A77" s="273" t="inlineStr">
        <is>
          <t>68581874</t>
        </is>
      </c>
      <c r="B77" s="467" t="n"/>
      <c r="C77" s="233" t="n">
        <v>46169</v>
      </c>
      <c r="D77" s="642" t="n"/>
      <c r="E77" s="222" t="n">
        <v>72</v>
      </c>
      <c r="F77" s="243" t="n">
        <v>2020</v>
      </c>
      <c r="G77" s="606" t="n"/>
      <c r="H77" s="607" t="inlineStr">
        <is>
          <t>Hyundai</t>
        </is>
      </c>
      <c r="I77" s="606" t="n"/>
      <c r="J77" s="606" t="n"/>
      <c r="K77" s="606" t="n"/>
      <c r="L77" s="608" t="inlineStr">
        <is>
          <t>Accent</t>
        </is>
      </c>
      <c r="M77" s="552" t="inlineStr">
        <is>
          <t>Azul</t>
        </is>
      </c>
      <c r="N77" s="552" t="n"/>
      <c r="O77" s="552" t="n"/>
      <c r="P77" s="552" t="n"/>
      <c r="Q77" s="552" t="n"/>
      <c r="R77" s="552" t="n"/>
      <c r="S77" s="552" t="n"/>
      <c r="T77" s="552" t="n"/>
      <c r="U77" s="552" t="n"/>
      <c r="V77" s="552" t="n"/>
      <c r="W77" s="554" t="n"/>
      <c r="X77" s="609" t="n"/>
      <c r="Y77" s="610" t="n"/>
      <c r="Z77" s="610" t="n"/>
      <c r="AA77" s="609" t="n"/>
      <c r="AB77" s="611" t="n"/>
      <c r="AC77" s="612" t="n"/>
      <c r="AD77" s="312" t="n"/>
    </row>
    <row r="78" ht="16.8" customHeight="1">
      <c r="A78" s="273" t="n">
        <v>50823796</v>
      </c>
      <c r="B78" s="467" t="n"/>
      <c r="C78" s="233" t="n">
        <v>46169</v>
      </c>
      <c r="D78" s="642" t="n"/>
      <c r="E78" s="221" t="n">
        <v>73</v>
      </c>
      <c r="F78" s="243" t="n">
        <v>2019</v>
      </c>
      <c r="G78" s="606" t="n"/>
      <c r="H78" s="607" t="inlineStr">
        <is>
          <t>Ford</t>
        </is>
      </c>
      <c r="I78" s="606" t="n"/>
      <c r="J78" s="606" t="n"/>
      <c r="K78" s="606" t="n"/>
      <c r="L78" s="608" t="inlineStr">
        <is>
          <t>Escape</t>
        </is>
      </c>
      <c r="M78" s="552" t="inlineStr">
        <is>
          <t>Blanco</t>
        </is>
      </c>
      <c r="N78" s="552" t="n"/>
      <c r="O78" s="552" t="n"/>
      <c r="P78" s="552" t="n"/>
      <c r="Q78" s="552" t="n"/>
      <c r="R78" s="552" t="n"/>
      <c r="S78" s="552" t="n"/>
      <c r="T78" s="552" t="n"/>
      <c r="U78" s="552" t="n"/>
      <c r="V78" s="552" t="n"/>
      <c r="W78" s="554" t="n"/>
      <c r="X78" s="609" t="n"/>
      <c r="Y78" s="610" t="n"/>
      <c r="Z78" s="610" t="n"/>
      <c r="AA78" s="609" t="n"/>
      <c r="AB78" s="611" t="n"/>
      <c r="AC78" s="612" t="n"/>
      <c r="AD78" s="312" t="n"/>
    </row>
    <row r="79" ht="16.8" customHeight="1">
      <c r="A79" s="273" t="n">
        <v>50478816</v>
      </c>
      <c r="B79" s="467" t="n"/>
      <c r="C79" s="233" t="n">
        <v>46170</v>
      </c>
      <c r="D79" s="642" t="n"/>
      <c r="E79" s="221" t="n">
        <v>74</v>
      </c>
      <c r="F79" s="243" t="n">
        <v>2020</v>
      </c>
      <c r="G79" s="606" t="n"/>
      <c r="H79" s="607" t="inlineStr">
        <is>
          <t>Ford</t>
        </is>
      </c>
      <c r="I79" s="606" t="n"/>
      <c r="J79" s="606" t="n"/>
      <c r="K79" s="606" t="n"/>
      <c r="L79" s="608" t="inlineStr">
        <is>
          <t>Ecosport</t>
        </is>
      </c>
      <c r="M79" s="552" t="inlineStr">
        <is>
          <t>Blanco</t>
        </is>
      </c>
      <c r="N79" s="552" t="n"/>
      <c r="O79" s="552" t="n"/>
      <c r="P79" s="552" t="n"/>
      <c r="Q79" s="552" t="n"/>
      <c r="R79" s="552" t="n"/>
      <c r="S79" s="552" t="n"/>
      <c r="T79" s="552" t="n"/>
      <c r="U79" s="552" t="n"/>
      <c r="V79" s="552" t="n"/>
      <c r="W79" s="554" t="n"/>
      <c r="X79" s="609" t="n"/>
      <c r="Y79" s="610" t="n"/>
      <c r="Z79" s="610" t="n"/>
      <c r="AA79" s="609" t="n"/>
      <c r="AB79" s="611" t="n"/>
      <c r="AC79" s="612" t="n"/>
      <c r="AD79" s="312" t="n"/>
    </row>
    <row r="80" ht="16.8" customHeight="1">
      <c r="A80" s="273" t="n">
        <v>48756046</v>
      </c>
      <c r="B80" s="467" t="n"/>
      <c r="C80" s="233" t="n">
        <v>46170</v>
      </c>
      <c r="D80" s="642" t="n"/>
      <c r="E80" s="222" t="n">
        <v>75</v>
      </c>
      <c r="F80" s="243" t="n">
        <v>2019</v>
      </c>
      <c r="G80" s="606" t="n"/>
      <c r="H80" s="607" t="inlineStr">
        <is>
          <t>Hyundai</t>
        </is>
      </c>
      <c r="I80" s="606" t="n"/>
      <c r="J80" s="606" t="n"/>
      <c r="K80" s="606" t="n"/>
      <c r="L80" s="608" t="inlineStr">
        <is>
          <t>Elantra</t>
        </is>
      </c>
      <c r="M80" s="552" t="inlineStr">
        <is>
          <t>Negro</t>
        </is>
      </c>
      <c r="N80" s="552" t="n"/>
      <c r="O80" s="552" t="n"/>
      <c r="P80" s="552" t="n"/>
      <c r="Q80" s="552" t="n"/>
      <c r="R80" s="552" t="n"/>
      <c r="S80" s="552" t="n"/>
      <c r="T80" s="552" t="n"/>
      <c r="U80" s="552" t="n"/>
      <c r="V80" s="552" t="n"/>
      <c r="W80" s="554" t="n"/>
      <c r="X80" s="609" t="n"/>
      <c r="Y80" s="610" t="n"/>
      <c r="Z80" s="610" t="n"/>
      <c r="AA80" s="609" t="n"/>
      <c r="AB80" s="611" t="n"/>
      <c r="AC80" s="612" t="n"/>
      <c r="AD80" s="312" t="n"/>
    </row>
    <row r="81" ht="16.8" customHeight="1">
      <c r="A81" s="273" t="n">
        <v>52616616</v>
      </c>
      <c r="B81" s="467" t="n"/>
      <c r="C81" s="233" t="n">
        <v>46170</v>
      </c>
      <c r="D81" s="642" t="n"/>
      <c r="E81" s="221" t="n">
        <v>76</v>
      </c>
      <c r="F81" s="243" t="n">
        <v>2019</v>
      </c>
      <c r="G81" s="606" t="n"/>
      <c r="H81" s="607" t="inlineStr">
        <is>
          <t xml:space="preserve">Nissan </t>
        </is>
      </c>
      <c r="I81" s="606" t="n"/>
      <c r="J81" s="606" t="n"/>
      <c r="K81" s="606" t="n"/>
      <c r="L81" s="608" t="inlineStr">
        <is>
          <t>Versa SV</t>
        </is>
      </c>
      <c r="M81" s="552" t="inlineStr">
        <is>
          <t>Azul</t>
        </is>
      </c>
      <c r="N81" s="552" t="n"/>
      <c r="O81" s="552" t="n"/>
      <c r="P81" s="552" t="n"/>
      <c r="Q81" s="552" t="n"/>
      <c r="R81" s="552" t="n"/>
      <c r="S81" s="552" t="n"/>
      <c r="T81" s="552" t="n"/>
      <c r="U81" s="552" t="n"/>
      <c r="V81" s="552" t="n"/>
      <c r="W81" s="554" t="n"/>
      <c r="X81" s="609" t="n"/>
      <c r="Y81" s="610" t="n"/>
      <c r="Z81" s="610" t="n"/>
      <c r="AA81" s="609" t="n"/>
      <c r="AB81" s="611" t="n"/>
      <c r="AC81" s="612" t="n"/>
      <c r="AD81" s="312" t="n"/>
    </row>
    <row r="82" ht="16.8" customHeight="1">
      <c r="A82" s="273" t="n">
        <v>45983796</v>
      </c>
      <c r="B82" s="467" t="n"/>
      <c r="C82" s="233" t="n">
        <v>46170</v>
      </c>
      <c r="D82" s="642" t="n"/>
      <c r="E82" s="221" t="n">
        <v>77</v>
      </c>
      <c r="F82" s="243" t="n">
        <v>2020</v>
      </c>
      <c r="G82" s="606" t="n"/>
      <c r="H82" s="607" t="inlineStr">
        <is>
          <t xml:space="preserve">Mitsubishi </t>
        </is>
      </c>
      <c r="I82" s="606" t="n"/>
      <c r="J82" s="606" t="n"/>
      <c r="K82" s="606" t="n"/>
      <c r="L82" s="608" t="inlineStr">
        <is>
          <t>Mirage ES</t>
        </is>
      </c>
      <c r="M82" s="552" t="inlineStr">
        <is>
          <t>Silver</t>
        </is>
      </c>
      <c r="N82" s="552" t="n"/>
      <c r="O82" s="552" t="n"/>
      <c r="P82" s="552" t="n"/>
      <c r="Q82" s="552" t="n"/>
      <c r="R82" s="552" t="n"/>
      <c r="S82" s="552" t="n"/>
      <c r="T82" s="552" t="n"/>
      <c r="U82" s="552" t="n"/>
      <c r="V82" s="552" t="n"/>
      <c r="W82" s="554" t="n"/>
      <c r="X82" s="609" t="n"/>
      <c r="Y82" s="610" t="n"/>
      <c r="Z82" s="610" t="n"/>
      <c r="AA82" s="609" t="n"/>
      <c r="AB82" s="611" t="n"/>
      <c r="AC82" s="612" t="n"/>
      <c r="AD82" s="312" t="n"/>
    </row>
    <row r="83" ht="16.8" customHeight="1">
      <c r="A83" s="294" t="n"/>
      <c r="B83" s="467" t="n"/>
      <c r="C83" s="643" t="n"/>
      <c r="D83" s="642" t="n"/>
      <c r="E83" s="221" t="n">
        <v>78</v>
      </c>
      <c r="F83" s="643" t="n"/>
      <c r="G83" s="606" t="n"/>
      <c r="H83" s="607" t="n"/>
      <c r="I83" s="606" t="n"/>
      <c r="J83" s="606" t="n"/>
      <c r="K83" s="606" t="n"/>
      <c r="L83" s="608" t="n"/>
      <c r="M83" s="552" t="n"/>
      <c r="N83" s="552" t="n">
        <v>0</v>
      </c>
      <c r="O83" s="552">
        <f>N83*O4</f>
        <v/>
      </c>
      <c r="P83" s="552">
        <f>N83+O83</f>
        <v/>
      </c>
      <c r="Q83" s="552">
        <f>P83/1.13</f>
        <v/>
      </c>
      <c r="R83" s="552">
        <f>Q83*0.13</f>
        <v/>
      </c>
      <c r="S83" s="552" t="n">
        <v>0</v>
      </c>
      <c r="T83" s="552">
        <f>R83-S83</f>
        <v/>
      </c>
      <c r="U83" s="552">
        <f>Q83*1.75%</f>
        <v/>
      </c>
      <c r="V83" s="552">
        <f>Q83+T83+U83</f>
        <v/>
      </c>
      <c r="W83" s="554">
        <f>V83*0.15</f>
        <v/>
      </c>
      <c r="X83" s="609">
        <f>W83*2</f>
        <v/>
      </c>
      <c r="Y83" s="610" t="n">
        <v>0</v>
      </c>
      <c r="Z83" s="610" t="n">
        <v>0</v>
      </c>
      <c r="AA83" s="609">
        <f>Y83*0.2</f>
        <v/>
      </c>
      <c r="AB83" s="611">
        <f>AA83+100</f>
        <v/>
      </c>
      <c r="AC83" s="612" t="n"/>
      <c r="AD83" s="312" t="n"/>
    </row>
    <row r="84" ht="16.8" customHeight="1">
      <c r="A84" s="294" t="n"/>
      <c r="B84" s="467" t="n"/>
      <c r="C84" s="643" t="n"/>
      <c r="D84" s="642" t="n"/>
      <c r="E84" s="221" t="n">
        <v>79</v>
      </c>
      <c r="F84" s="643" t="n"/>
      <c r="G84" s="606" t="n"/>
      <c r="H84" s="607" t="n"/>
      <c r="I84" s="606" t="n"/>
      <c r="J84" s="606" t="n"/>
      <c r="K84" s="606" t="n"/>
      <c r="L84" s="608" t="n"/>
      <c r="M84" s="552" t="n"/>
      <c r="N84" s="552" t="n">
        <v>0</v>
      </c>
      <c r="O84" s="552">
        <f>N84*O4</f>
        <v/>
      </c>
      <c r="P84" s="552" t="n">
        <v>0</v>
      </c>
      <c r="Q84" s="552">
        <f>P84/1.13</f>
        <v/>
      </c>
      <c r="R84" s="552">
        <f>Q84*0.13</f>
        <v/>
      </c>
      <c r="S84" s="552" t="n">
        <v>0</v>
      </c>
      <c r="T84" s="552">
        <f>R84-S84</f>
        <v/>
      </c>
      <c r="U84" s="552">
        <f>Q84*1.75%</f>
        <v/>
      </c>
      <c r="V84" s="552">
        <f>Q84+T84+U84</f>
        <v/>
      </c>
      <c r="W84" s="554">
        <f>V84*0.15</f>
        <v/>
      </c>
      <c r="X84" s="609">
        <f>W84*2</f>
        <v/>
      </c>
      <c r="Y84" s="610" t="n">
        <v>0</v>
      </c>
      <c r="Z84" s="610" t="n">
        <v>0</v>
      </c>
      <c r="AA84" s="609">
        <f>Y84*0.2</f>
        <v/>
      </c>
      <c r="AB84" s="611">
        <f>AA84+100</f>
        <v/>
      </c>
      <c r="AC84" s="612" t="n"/>
      <c r="AD84" s="312" t="n"/>
    </row>
    <row r="85" ht="16.8" customHeight="1">
      <c r="A85" s="294" t="n"/>
      <c r="B85" s="467" t="n"/>
      <c r="C85" s="643" t="n"/>
      <c r="D85" s="642" t="n"/>
      <c r="E85" s="221" t="n">
        <v>80</v>
      </c>
      <c r="F85" s="643" t="n"/>
      <c r="G85" s="606" t="n"/>
      <c r="H85" s="607" t="n"/>
      <c r="I85" s="606" t="n"/>
      <c r="J85" s="606" t="n"/>
      <c r="K85" s="606" t="n"/>
      <c r="L85" s="608" t="n"/>
      <c r="M85" s="552" t="n"/>
      <c r="N85" s="552" t="n">
        <v>0</v>
      </c>
      <c r="O85" s="552">
        <f>N85*O4</f>
        <v/>
      </c>
      <c r="P85" s="552" t="n">
        <v>0</v>
      </c>
      <c r="Q85" s="552">
        <f>P85/1.13</f>
        <v/>
      </c>
      <c r="R85" s="552">
        <f>Q85*0.13</f>
        <v/>
      </c>
      <c r="S85" s="552" t="n">
        <v>0</v>
      </c>
      <c r="T85" s="552">
        <f>R85-S85</f>
        <v/>
      </c>
      <c r="U85" s="552">
        <f>Q85*1.75%</f>
        <v/>
      </c>
      <c r="V85" s="552" t="n">
        <v>0</v>
      </c>
      <c r="W85" s="554">
        <f>V85*0.15</f>
        <v/>
      </c>
      <c r="X85" s="609">
        <f>W85*2</f>
        <v/>
      </c>
      <c r="Y85" s="610" t="n">
        <v>0</v>
      </c>
      <c r="Z85" s="610" t="n">
        <v>0</v>
      </c>
      <c r="AA85" s="609">
        <f>Y85*0.2</f>
        <v/>
      </c>
      <c r="AB85" s="611">
        <f>AA85+100</f>
        <v/>
      </c>
      <c r="AC85" s="612" t="n"/>
      <c r="AD85" s="312" t="n"/>
    </row>
    <row r="86" ht="16.8" customHeight="1">
      <c r="A86" s="294" t="n"/>
      <c r="B86" s="467" t="n"/>
      <c r="C86" s="643" t="n"/>
      <c r="D86" s="642" t="n"/>
      <c r="E86" s="221" t="n">
        <v>81</v>
      </c>
      <c r="F86" s="643" t="n"/>
      <c r="G86" s="606" t="n"/>
      <c r="H86" s="607" t="n"/>
      <c r="I86" s="606" t="n"/>
      <c r="J86" s="606" t="n"/>
      <c r="K86" s="606" t="n"/>
      <c r="L86" s="608" t="n"/>
      <c r="M86" s="552" t="n"/>
      <c r="N86" s="552" t="n">
        <v>0</v>
      </c>
      <c r="O86" s="552">
        <f>N86*O4</f>
        <v/>
      </c>
      <c r="P86" s="552" t="n">
        <v>0</v>
      </c>
      <c r="Q86" s="552" t="n">
        <v>0</v>
      </c>
      <c r="R86" s="552" t="n">
        <v>0</v>
      </c>
      <c r="S86" s="552" t="n">
        <v>0</v>
      </c>
      <c r="T86" s="552" t="n">
        <v>0</v>
      </c>
      <c r="U86" s="552" t="n">
        <v>0</v>
      </c>
      <c r="V86" s="552" t="n">
        <v>0</v>
      </c>
      <c r="W86" s="606" t="n">
        <v>0</v>
      </c>
      <c r="X86" s="609">
        <f>W86*2</f>
        <v/>
      </c>
      <c r="Y86" s="610" t="n">
        <v>0</v>
      </c>
      <c r="Z86" s="610" t="n">
        <v>0</v>
      </c>
      <c r="AA86" s="609">
        <f>Y86*0.2</f>
        <v/>
      </c>
      <c r="AB86" s="611">
        <f>AA86+100</f>
        <v/>
      </c>
      <c r="AC86" s="612" t="n"/>
      <c r="AD86" s="312" t="n"/>
    </row>
    <row r="87" ht="16.8" customHeight="1">
      <c r="A87" s="294" t="n"/>
      <c r="B87" s="467" t="n"/>
      <c r="C87" s="643" t="n"/>
      <c r="D87" s="642" t="n"/>
      <c r="E87" s="221" t="n">
        <v>82</v>
      </c>
      <c r="F87" s="643" t="n"/>
      <c r="G87" s="606" t="n"/>
      <c r="H87" s="607" t="n"/>
      <c r="I87" s="606" t="n"/>
      <c r="J87" s="606" t="n"/>
      <c r="K87" s="606" t="n"/>
      <c r="L87" s="608" t="n"/>
      <c r="M87" s="552" t="n"/>
      <c r="N87" s="552" t="n">
        <v>0</v>
      </c>
      <c r="O87" s="552">
        <f>N87*O80</f>
        <v/>
      </c>
      <c r="P87" s="552" t="n">
        <v>0</v>
      </c>
      <c r="Q87" s="552" t="n">
        <v>0</v>
      </c>
      <c r="R87" s="552" t="n">
        <v>0</v>
      </c>
      <c r="S87" s="552" t="n">
        <v>0</v>
      </c>
      <c r="T87" s="552" t="n">
        <v>0</v>
      </c>
      <c r="U87" s="552" t="n">
        <v>0</v>
      </c>
      <c r="V87" s="552" t="n">
        <v>0</v>
      </c>
      <c r="W87" s="606" t="n">
        <v>0</v>
      </c>
      <c r="X87" s="609">
        <f>W87*2</f>
        <v/>
      </c>
      <c r="Y87" s="610" t="n">
        <v>0</v>
      </c>
      <c r="Z87" s="610" t="n">
        <v>0</v>
      </c>
      <c r="AA87" s="609">
        <f>Y87*0.2</f>
        <v/>
      </c>
      <c r="AB87" s="611">
        <f>AA87+100</f>
        <v/>
      </c>
      <c r="AC87" s="612" t="n"/>
      <c r="AD87" s="312" t="n"/>
    </row>
    <row r="88" ht="16.8" customHeight="1">
      <c r="A88" s="294" t="n"/>
      <c r="B88" s="467" t="n"/>
      <c r="C88" s="643" t="n"/>
      <c r="D88" s="642" t="n"/>
      <c r="E88" s="221" t="n">
        <v>83</v>
      </c>
      <c r="F88" s="643" t="n"/>
      <c r="G88" s="606" t="n"/>
      <c r="H88" s="607" t="n"/>
      <c r="I88" s="606" t="n"/>
      <c r="J88" s="606" t="n"/>
      <c r="K88" s="606" t="n"/>
      <c r="L88" s="608" t="n"/>
      <c r="M88" s="552" t="n"/>
      <c r="N88" s="552" t="n">
        <v>0</v>
      </c>
      <c r="O88" s="552">
        <f>N88*O4</f>
        <v/>
      </c>
      <c r="P88" s="552" t="n">
        <v>0</v>
      </c>
      <c r="Q88" s="552" t="n">
        <v>0</v>
      </c>
      <c r="R88" s="552" t="n">
        <v>0</v>
      </c>
      <c r="S88" s="552" t="n">
        <v>0</v>
      </c>
      <c r="T88" s="552" t="n">
        <v>0</v>
      </c>
      <c r="U88" s="552" t="n">
        <v>0</v>
      </c>
      <c r="V88" s="552" t="n">
        <v>0</v>
      </c>
      <c r="W88" s="606" t="n">
        <v>0</v>
      </c>
      <c r="X88" s="609">
        <f>W88*2</f>
        <v/>
      </c>
      <c r="Y88" s="610" t="n">
        <v>0</v>
      </c>
      <c r="Z88" s="610" t="n">
        <v>0</v>
      </c>
      <c r="AA88" s="609">
        <f>Y88*0.2</f>
        <v/>
      </c>
      <c r="AB88" s="611">
        <f>AA88+100</f>
        <v/>
      </c>
      <c r="AC88" s="612" t="n"/>
      <c r="AD88" s="312" t="n"/>
    </row>
    <row r="89" ht="16.8" customHeight="1">
      <c r="A89" s="294" t="n"/>
      <c r="B89" s="467" t="n"/>
      <c r="C89" s="643" t="n"/>
      <c r="D89" s="642" t="n"/>
      <c r="E89" s="221" t="n">
        <v>84</v>
      </c>
      <c r="F89" s="643" t="n"/>
      <c r="G89" s="606" t="n"/>
      <c r="H89" s="607" t="n"/>
      <c r="I89" s="606" t="n"/>
      <c r="J89" s="606" t="n"/>
      <c r="K89" s="606" t="n"/>
      <c r="L89" s="608" t="n"/>
      <c r="M89" s="552" t="n"/>
      <c r="N89" s="552" t="n">
        <v>0</v>
      </c>
      <c r="O89" s="552">
        <f>N89*O4</f>
        <v/>
      </c>
      <c r="P89" s="552" t="n">
        <v>0</v>
      </c>
      <c r="Q89" s="552" t="n">
        <v>0</v>
      </c>
      <c r="R89" s="552" t="n">
        <v>0</v>
      </c>
      <c r="S89" s="552" t="n">
        <v>0</v>
      </c>
      <c r="T89" s="552" t="n">
        <v>0</v>
      </c>
      <c r="U89" s="552" t="n">
        <v>0</v>
      </c>
      <c r="V89" s="552" t="n">
        <v>0</v>
      </c>
      <c r="W89" s="606" t="n">
        <v>0</v>
      </c>
      <c r="X89" s="609">
        <f>W89*2</f>
        <v/>
      </c>
      <c r="Y89" s="610" t="n">
        <v>0</v>
      </c>
      <c r="Z89" s="610" t="n">
        <v>0</v>
      </c>
      <c r="AA89" s="609">
        <f>Y89*0.2</f>
        <v/>
      </c>
      <c r="AB89" s="611">
        <f>AA89+100</f>
        <v/>
      </c>
      <c r="AC89" s="612" t="n"/>
      <c r="AD89" s="312" t="n"/>
    </row>
    <row r="90" ht="16.8" customHeight="1">
      <c r="A90" s="294" t="n"/>
      <c r="B90" s="467" t="n"/>
      <c r="C90" s="643" t="n"/>
      <c r="D90" s="642" t="n"/>
      <c r="E90" s="221" t="n">
        <v>85</v>
      </c>
      <c r="F90" s="643" t="n"/>
      <c r="G90" s="606" t="n"/>
      <c r="H90" s="607" t="n"/>
      <c r="I90" s="606" t="n"/>
      <c r="J90" s="606" t="n"/>
      <c r="K90" s="606" t="n"/>
      <c r="L90" s="608" t="n"/>
      <c r="M90" s="552" t="n"/>
      <c r="N90" s="552" t="n">
        <v>0</v>
      </c>
      <c r="O90" s="552">
        <f>N90*O83</f>
        <v/>
      </c>
      <c r="P90" s="552" t="n">
        <v>0</v>
      </c>
      <c r="Q90" s="552" t="n">
        <v>0</v>
      </c>
      <c r="R90" s="552" t="n">
        <v>0</v>
      </c>
      <c r="S90" s="552" t="n">
        <v>0</v>
      </c>
      <c r="T90" s="552" t="n">
        <v>0</v>
      </c>
      <c r="U90" s="552" t="n">
        <v>0</v>
      </c>
      <c r="V90" s="552" t="n">
        <v>0</v>
      </c>
      <c r="W90" s="606" t="n">
        <v>0</v>
      </c>
      <c r="X90" s="609">
        <f>W90*2</f>
        <v/>
      </c>
      <c r="Y90" s="610" t="n">
        <v>0</v>
      </c>
      <c r="Z90" s="610" t="n">
        <v>0</v>
      </c>
      <c r="AA90" s="609">
        <f>Y90*0.2</f>
        <v/>
      </c>
      <c r="AB90" s="611">
        <f>AA90+100</f>
        <v/>
      </c>
      <c r="AC90" s="612" t="n"/>
      <c r="AD90" s="312" t="n"/>
    </row>
    <row r="91" ht="16.8" customHeight="1">
      <c r="A91" s="294" t="n"/>
      <c r="B91" s="467" t="n"/>
      <c r="C91" s="643" t="n"/>
      <c r="D91" s="642" t="n"/>
      <c r="E91" s="221" t="n">
        <v>86</v>
      </c>
      <c r="F91" s="643" t="n"/>
      <c r="G91" s="606" t="n"/>
      <c r="H91" s="607" t="n"/>
      <c r="I91" s="606" t="n"/>
      <c r="J91" s="606" t="n"/>
      <c r="K91" s="606" t="n"/>
      <c r="L91" s="608" t="n"/>
      <c r="M91" s="552" t="n"/>
      <c r="N91" s="552" t="n">
        <v>0</v>
      </c>
      <c r="O91" s="552">
        <f>N91*O4</f>
        <v/>
      </c>
      <c r="P91" s="552" t="n">
        <v>0</v>
      </c>
      <c r="Q91" s="552" t="n">
        <v>0</v>
      </c>
      <c r="R91" s="552" t="n">
        <v>0</v>
      </c>
      <c r="S91" s="552" t="n">
        <v>0</v>
      </c>
      <c r="T91" s="552" t="n">
        <v>0</v>
      </c>
      <c r="U91" s="552" t="n">
        <v>0</v>
      </c>
      <c r="V91" s="552" t="n">
        <v>0</v>
      </c>
      <c r="W91" s="606" t="n">
        <v>0</v>
      </c>
      <c r="X91" s="609">
        <f>W91*2</f>
        <v/>
      </c>
      <c r="Y91" s="610" t="n">
        <v>0</v>
      </c>
      <c r="Z91" s="610" t="n">
        <v>0</v>
      </c>
      <c r="AA91" s="609">
        <f>Y91*0.2</f>
        <v/>
      </c>
      <c r="AB91" s="611">
        <f>AA91+100</f>
        <v/>
      </c>
      <c r="AC91" s="612" t="n"/>
      <c r="AD91" s="312" t="n"/>
    </row>
    <row r="92" ht="16.8" customHeight="1">
      <c r="A92" s="294" t="n"/>
      <c r="B92" s="467" t="n"/>
      <c r="C92" s="643" t="n"/>
      <c r="D92" s="642" t="n"/>
      <c r="E92" s="221" t="n">
        <v>87</v>
      </c>
      <c r="F92" s="643" t="n"/>
      <c r="G92" s="606" t="n"/>
      <c r="H92" s="607" t="n"/>
      <c r="I92" s="606" t="n"/>
      <c r="J92" s="606" t="n"/>
      <c r="K92" s="606" t="n"/>
      <c r="L92" s="608" t="n"/>
      <c r="M92" s="552" t="n"/>
      <c r="N92" s="552" t="n">
        <v>0</v>
      </c>
      <c r="O92" s="552">
        <f>N92*O4</f>
        <v/>
      </c>
      <c r="P92" s="552" t="n">
        <v>0</v>
      </c>
      <c r="Q92" s="552" t="n">
        <v>0</v>
      </c>
      <c r="R92" s="552" t="n">
        <v>0</v>
      </c>
      <c r="S92" s="552" t="n">
        <v>0</v>
      </c>
      <c r="T92" s="552" t="n">
        <v>0</v>
      </c>
      <c r="U92" s="552" t="n">
        <v>0</v>
      </c>
      <c r="V92" s="552" t="n">
        <v>0</v>
      </c>
      <c r="W92" s="606" t="n">
        <v>0</v>
      </c>
      <c r="X92" s="609">
        <f>W92*2</f>
        <v/>
      </c>
      <c r="Y92" s="610" t="n">
        <v>0</v>
      </c>
      <c r="Z92" s="610" t="n">
        <v>0</v>
      </c>
      <c r="AA92" s="609">
        <f>Y92*0.2</f>
        <v/>
      </c>
      <c r="AB92" s="611">
        <f>AA92+100</f>
        <v/>
      </c>
      <c r="AC92" s="612" t="n"/>
      <c r="AD92" s="312" t="n"/>
    </row>
    <row r="93" ht="16.8" customHeight="1">
      <c r="A93" s="294" t="n"/>
      <c r="B93" s="467" t="n"/>
      <c r="C93" s="643" t="n"/>
      <c r="D93" s="642" t="n"/>
      <c r="E93" s="221" t="n">
        <v>88</v>
      </c>
      <c r="F93" s="643" t="n"/>
      <c r="G93" s="606" t="n"/>
      <c r="H93" s="607" t="n"/>
      <c r="I93" s="606" t="n"/>
      <c r="J93" s="606" t="n"/>
      <c r="K93" s="606" t="n"/>
      <c r="L93" s="608" t="n"/>
      <c r="M93" s="552" t="n"/>
      <c r="N93" s="552" t="n">
        <v>0</v>
      </c>
      <c r="O93" s="552">
        <f>N93*O4</f>
        <v/>
      </c>
      <c r="P93" s="552" t="n">
        <v>0</v>
      </c>
      <c r="Q93" s="552" t="n">
        <v>0</v>
      </c>
      <c r="R93" s="552" t="n">
        <v>0</v>
      </c>
      <c r="S93" s="552" t="n">
        <v>0</v>
      </c>
      <c r="T93" s="552" t="n">
        <v>0</v>
      </c>
      <c r="U93" s="552" t="n">
        <v>0</v>
      </c>
      <c r="V93" s="552" t="n">
        <v>0</v>
      </c>
      <c r="W93" s="606" t="n">
        <v>0</v>
      </c>
      <c r="X93" s="609">
        <f>W93*2</f>
        <v/>
      </c>
      <c r="Y93" s="610" t="n">
        <v>0</v>
      </c>
      <c r="Z93" s="610" t="n">
        <v>0</v>
      </c>
      <c r="AA93" s="609">
        <f>Y93*0.2</f>
        <v/>
      </c>
      <c r="AB93" s="611">
        <f>AA93+100</f>
        <v/>
      </c>
      <c r="AC93" s="612" t="n"/>
      <c r="AD93" s="312" t="n"/>
    </row>
    <row r="94" ht="16.8" customHeight="1">
      <c r="A94" s="294" t="n"/>
      <c r="B94" s="467" t="n"/>
      <c r="C94" s="643" t="n"/>
      <c r="D94" s="642" t="n"/>
      <c r="E94" s="221" t="n">
        <v>89</v>
      </c>
      <c r="F94" s="643" t="n"/>
      <c r="G94" s="606" t="n"/>
      <c r="H94" s="607" t="n"/>
      <c r="I94" s="606" t="n"/>
      <c r="J94" s="606" t="n"/>
      <c r="K94" s="606" t="n"/>
      <c r="L94" s="608" t="n"/>
      <c r="M94" s="552" t="n"/>
      <c r="N94" s="552" t="n">
        <v>0</v>
      </c>
      <c r="O94" s="552">
        <f>N94*O4</f>
        <v/>
      </c>
      <c r="P94" s="552" t="n">
        <v>0</v>
      </c>
      <c r="Q94" s="552" t="n">
        <v>0</v>
      </c>
      <c r="R94" s="552" t="n">
        <v>0</v>
      </c>
      <c r="S94" s="552" t="n">
        <v>0</v>
      </c>
      <c r="T94" s="552" t="n">
        <v>0</v>
      </c>
      <c r="U94" s="552" t="n">
        <v>0</v>
      </c>
      <c r="V94" s="552" t="n">
        <v>0</v>
      </c>
      <c r="W94" s="606" t="n">
        <v>0</v>
      </c>
      <c r="X94" s="609">
        <f>W94*2</f>
        <v/>
      </c>
      <c r="Y94" s="610" t="n">
        <v>0</v>
      </c>
      <c r="Z94" s="610" t="n">
        <v>0</v>
      </c>
      <c r="AA94" s="609">
        <f>Y94*0.2</f>
        <v/>
      </c>
      <c r="AB94" s="611">
        <f>AA94+100</f>
        <v/>
      </c>
      <c r="AC94" s="612" t="n"/>
      <c r="AD94" s="312" t="n"/>
    </row>
    <row r="95" ht="16.8" customHeight="1">
      <c r="A95" s="294" t="n"/>
      <c r="B95" s="467" t="n"/>
      <c r="C95" s="643" t="n"/>
      <c r="D95" s="642" t="n"/>
      <c r="E95" s="221" t="n">
        <v>90</v>
      </c>
      <c r="F95" s="643" t="n"/>
      <c r="G95" s="606" t="n"/>
      <c r="H95" s="607" t="n"/>
      <c r="I95" s="606" t="n"/>
      <c r="J95" s="606" t="n"/>
      <c r="K95" s="606" t="n"/>
      <c r="L95" s="608" t="n"/>
      <c r="M95" s="552" t="n"/>
      <c r="N95" s="552" t="n">
        <v>0</v>
      </c>
      <c r="O95" s="552">
        <f>N95*O4</f>
        <v/>
      </c>
      <c r="P95" s="552" t="n">
        <v>0</v>
      </c>
      <c r="Q95" s="552" t="n">
        <v>0</v>
      </c>
      <c r="R95" s="552" t="n">
        <v>0</v>
      </c>
      <c r="S95" s="552" t="n">
        <v>0</v>
      </c>
      <c r="T95" s="552" t="n">
        <v>0</v>
      </c>
      <c r="U95" s="552" t="n">
        <v>0</v>
      </c>
      <c r="V95" s="552" t="n">
        <v>0</v>
      </c>
      <c r="W95" s="606" t="n">
        <v>0</v>
      </c>
      <c r="X95" s="609">
        <f>W95*2</f>
        <v/>
      </c>
      <c r="Y95" s="610" t="n">
        <v>0</v>
      </c>
      <c r="Z95" s="610" t="n">
        <v>0</v>
      </c>
      <c r="AA95" s="609">
        <f>Y95*0.2</f>
        <v/>
      </c>
      <c r="AB95" s="611">
        <f>AA95+100</f>
        <v/>
      </c>
      <c r="AC95" s="612" t="n"/>
      <c r="AD95" s="312" t="n"/>
    </row>
    <row r="96" ht="16.8" customHeight="1">
      <c r="A96" s="294" t="n"/>
      <c r="B96" s="467" t="n"/>
      <c r="C96" s="643" t="n"/>
      <c r="D96" s="642" t="n"/>
      <c r="E96" s="221" t="n">
        <v>91</v>
      </c>
      <c r="F96" s="643" t="n"/>
      <c r="G96" s="606" t="n"/>
      <c r="H96" s="607" t="n"/>
      <c r="I96" s="606" t="n"/>
      <c r="J96" s="606" t="n"/>
      <c r="K96" s="606" t="n"/>
      <c r="L96" s="608" t="n"/>
      <c r="M96" s="552" t="n"/>
      <c r="N96" s="552" t="n">
        <v>0</v>
      </c>
      <c r="O96" s="552">
        <f>N96*O4</f>
        <v/>
      </c>
      <c r="P96" s="552" t="n">
        <v>0</v>
      </c>
      <c r="Q96" s="552" t="n">
        <v>0</v>
      </c>
      <c r="R96" s="552" t="n">
        <v>0</v>
      </c>
      <c r="S96" s="552" t="n">
        <v>0</v>
      </c>
      <c r="T96" s="552" t="n">
        <v>0</v>
      </c>
      <c r="U96" s="552" t="n">
        <v>0</v>
      </c>
      <c r="V96" s="552" t="n">
        <v>0</v>
      </c>
      <c r="W96" s="606" t="n">
        <v>0</v>
      </c>
      <c r="X96" s="609">
        <f>W96*2</f>
        <v/>
      </c>
      <c r="Y96" s="610" t="n">
        <v>0</v>
      </c>
      <c r="Z96" s="610" t="n">
        <v>0</v>
      </c>
      <c r="AA96" s="609">
        <f>Y96*0.2</f>
        <v/>
      </c>
      <c r="AB96" s="611">
        <f>AA96+100</f>
        <v/>
      </c>
      <c r="AC96" s="612" t="n"/>
      <c r="AD96" s="312" t="n"/>
    </row>
    <row r="97" ht="16.8" customHeight="1">
      <c r="A97" s="294" t="n"/>
      <c r="B97" s="467" t="n"/>
      <c r="C97" s="643" t="n"/>
      <c r="D97" s="642" t="n"/>
      <c r="E97" s="221" t="n">
        <v>92</v>
      </c>
      <c r="F97" s="643" t="n"/>
      <c r="G97" s="606" t="n"/>
      <c r="H97" s="607" t="n"/>
      <c r="I97" s="606" t="n"/>
      <c r="J97" s="606" t="n"/>
      <c r="K97" s="606" t="n"/>
      <c r="L97" s="608" t="n"/>
      <c r="M97" s="552" t="n"/>
      <c r="N97" s="552" t="n">
        <v>0</v>
      </c>
      <c r="O97" s="552">
        <f>N97*O4</f>
        <v/>
      </c>
      <c r="P97" s="552" t="n">
        <v>0</v>
      </c>
      <c r="Q97" s="552" t="n">
        <v>0</v>
      </c>
      <c r="R97" s="552" t="n">
        <v>0</v>
      </c>
      <c r="S97" s="552" t="n">
        <v>0</v>
      </c>
      <c r="T97" s="552" t="n">
        <v>0</v>
      </c>
      <c r="U97" s="552" t="n">
        <v>0</v>
      </c>
      <c r="V97" s="552" t="n">
        <v>0</v>
      </c>
      <c r="W97" s="606" t="n">
        <v>0</v>
      </c>
      <c r="X97" s="609">
        <f>W97*2</f>
        <v/>
      </c>
      <c r="Y97" s="610" t="n">
        <v>0</v>
      </c>
      <c r="Z97" s="610" t="n">
        <v>0</v>
      </c>
      <c r="AA97" s="609">
        <f>Y97*0.2</f>
        <v/>
      </c>
      <c r="AB97" s="611">
        <f>AA97+100</f>
        <v/>
      </c>
      <c r="AC97" s="612" t="n"/>
      <c r="AD97" s="312" t="n"/>
    </row>
    <row r="98" ht="16.8" customHeight="1">
      <c r="A98" s="294" t="n"/>
      <c r="B98" s="467" t="n"/>
      <c r="C98" s="643" t="n"/>
      <c r="D98" s="642" t="n"/>
      <c r="E98" s="222" t="n">
        <v>93</v>
      </c>
      <c r="F98" s="643" t="n"/>
      <c r="G98" s="606" t="n"/>
      <c r="H98" s="607" t="n"/>
      <c r="I98" s="606" t="n"/>
      <c r="J98" s="606" t="n"/>
      <c r="K98" s="606" t="n"/>
      <c r="L98" s="608" t="n"/>
      <c r="M98" s="552" t="n"/>
      <c r="N98" s="552" t="n">
        <v>0</v>
      </c>
      <c r="O98" s="552">
        <f>N98*O4</f>
        <v/>
      </c>
      <c r="P98" s="552" t="n">
        <v>0</v>
      </c>
      <c r="Q98" s="552" t="n">
        <v>0</v>
      </c>
      <c r="R98" s="552" t="n">
        <v>0</v>
      </c>
      <c r="S98" s="552" t="n">
        <v>0</v>
      </c>
      <c r="T98" s="552" t="n">
        <v>0</v>
      </c>
      <c r="U98" s="552" t="n">
        <v>0</v>
      </c>
      <c r="V98" s="552" t="n">
        <v>0</v>
      </c>
      <c r="W98" s="606" t="n">
        <v>0</v>
      </c>
      <c r="X98" s="609">
        <f>W98*2</f>
        <v/>
      </c>
      <c r="Y98" s="610" t="n">
        <v>0</v>
      </c>
      <c r="Z98" s="610" t="n">
        <v>0</v>
      </c>
      <c r="AA98" s="609">
        <f>Y98*0.2</f>
        <v/>
      </c>
      <c r="AB98" s="611">
        <f>AA98+100</f>
        <v/>
      </c>
      <c r="AC98" s="612" t="n"/>
      <c r="AD98" s="312" t="n"/>
    </row>
    <row r="99" ht="16.8" customHeight="1">
      <c r="A99" s="294" t="n"/>
      <c r="B99" s="467" t="n"/>
      <c r="C99" s="643" t="n"/>
      <c r="D99" s="642" t="n"/>
      <c r="E99" s="221" t="n">
        <v>94</v>
      </c>
      <c r="F99" s="643" t="n"/>
      <c r="G99" s="606" t="n"/>
      <c r="H99" s="607" t="n"/>
      <c r="I99" s="606" t="n"/>
      <c r="J99" s="606" t="n"/>
      <c r="K99" s="606" t="n"/>
      <c r="L99" s="608" t="n"/>
      <c r="M99" s="552" t="n"/>
      <c r="N99" s="552" t="n">
        <v>0</v>
      </c>
      <c r="O99" s="552">
        <f>N99*O4</f>
        <v/>
      </c>
      <c r="P99" s="552" t="n">
        <v>0</v>
      </c>
      <c r="Q99" s="552" t="n">
        <v>0</v>
      </c>
      <c r="R99" s="552" t="n">
        <v>0</v>
      </c>
      <c r="S99" s="552" t="n">
        <v>0</v>
      </c>
      <c r="T99" s="552" t="n">
        <v>0</v>
      </c>
      <c r="U99" s="552" t="n">
        <v>0</v>
      </c>
      <c r="V99" s="552" t="n">
        <v>0</v>
      </c>
      <c r="W99" s="606" t="n">
        <v>0</v>
      </c>
      <c r="X99" s="609">
        <f>W99*2</f>
        <v/>
      </c>
      <c r="Y99" s="610" t="n">
        <v>0</v>
      </c>
      <c r="Z99" s="610" t="n">
        <v>0</v>
      </c>
      <c r="AA99" s="609">
        <f>Y99*0.2</f>
        <v/>
      </c>
      <c r="AB99" s="611">
        <f>AA99+100</f>
        <v/>
      </c>
      <c r="AC99" s="612" t="n"/>
      <c r="AD99" s="312" t="n"/>
    </row>
    <row r="100" ht="16.8" customHeight="1">
      <c r="A100" s="294" t="n"/>
      <c r="B100" s="467" t="n"/>
      <c r="C100" s="643" t="n"/>
      <c r="D100" s="642" t="n"/>
      <c r="E100" s="221" t="n">
        <v>95</v>
      </c>
      <c r="F100" s="643" t="n"/>
      <c r="G100" s="606" t="n"/>
      <c r="H100" s="607" t="n"/>
      <c r="I100" s="606" t="n"/>
      <c r="J100" s="606" t="n"/>
      <c r="K100" s="606" t="n"/>
      <c r="L100" s="608" t="n"/>
      <c r="M100" s="552" t="n"/>
      <c r="N100" s="552" t="n">
        <v>0</v>
      </c>
      <c r="O100" s="552" t="n">
        <v>0</v>
      </c>
      <c r="P100" s="552" t="n">
        <v>0</v>
      </c>
      <c r="Q100" s="552" t="n">
        <v>0</v>
      </c>
      <c r="R100" s="552" t="n">
        <v>0</v>
      </c>
      <c r="S100" s="552" t="n">
        <v>0</v>
      </c>
      <c r="T100" s="552" t="n">
        <v>0</v>
      </c>
      <c r="U100" s="552" t="n">
        <v>0</v>
      </c>
      <c r="V100" s="552" t="n">
        <v>0</v>
      </c>
      <c r="W100" s="606" t="n">
        <v>0</v>
      </c>
      <c r="X100" s="609">
        <f>W100*2</f>
        <v/>
      </c>
      <c r="Y100" s="610" t="n">
        <v>0</v>
      </c>
      <c r="Z100" s="610" t="n">
        <v>0</v>
      </c>
      <c r="AA100" s="609">
        <f>Y100*0.2</f>
        <v/>
      </c>
      <c r="AB100" s="611">
        <f>AA100+100</f>
        <v/>
      </c>
      <c r="AC100" s="612" t="n"/>
      <c r="AD100" s="312" t="n"/>
    </row>
    <row r="101" ht="16.8" customHeight="1">
      <c r="A101" s="294" t="n"/>
      <c r="B101" s="467" t="n"/>
      <c r="C101" s="643" t="n"/>
      <c r="D101" s="642" t="n"/>
      <c r="E101" s="221" t="n">
        <v>96</v>
      </c>
      <c r="F101" s="643" t="n"/>
      <c r="G101" s="606" t="n"/>
      <c r="H101" s="607" t="n"/>
      <c r="I101" s="606" t="n"/>
      <c r="J101" s="606" t="n"/>
      <c r="K101" s="606" t="n"/>
      <c r="L101" s="608" t="n"/>
      <c r="M101" s="552" t="n"/>
      <c r="N101" s="552" t="n">
        <v>0</v>
      </c>
      <c r="O101" s="552" t="n">
        <v>0</v>
      </c>
      <c r="P101" s="552" t="n">
        <v>0</v>
      </c>
      <c r="Q101" s="552" t="n">
        <v>0</v>
      </c>
      <c r="R101" s="552" t="n">
        <v>0</v>
      </c>
      <c r="S101" s="552" t="n">
        <v>0</v>
      </c>
      <c r="T101" s="552" t="n">
        <v>0</v>
      </c>
      <c r="U101" s="552" t="n">
        <v>0</v>
      </c>
      <c r="V101" s="552" t="n">
        <v>0</v>
      </c>
      <c r="W101" s="606" t="n">
        <v>0</v>
      </c>
      <c r="X101" s="609">
        <f>W101*2</f>
        <v/>
      </c>
      <c r="Y101" s="610" t="n">
        <v>0</v>
      </c>
      <c r="Z101" s="610" t="n">
        <v>0</v>
      </c>
      <c r="AA101" s="609">
        <f>Y101*0.2</f>
        <v/>
      </c>
      <c r="AB101" s="611">
        <f>AA101+100</f>
        <v/>
      </c>
      <c r="AC101" s="612" t="n"/>
      <c r="AD101" s="312" t="n"/>
    </row>
    <row r="102" ht="16.8" customHeight="1">
      <c r="A102" s="294" t="n"/>
      <c r="B102" s="467" t="n"/>
      <c r="C102" s="643" t="n"/>
      <c r="D102" s="642" t="n"/>
      <c r="E102" s="221" t="n">
        <v>97</v>
      </c>
      <c r="F102" s="643" t="n"/>
      <c r="G102" s="606" t="n"/>
      <c r="H102" s="607" t="n"/>
      <c r="I102" s="606" t="n"/>
      <c r="J102" s="606" t="n"/>
      <c r="K102" s="606" t="n"/>
      <c r="L102" s="608" t="n"/>
      <c r="M102" s="552" t="n"/>
      <c r="N102" s="552" t="n">
        <v>0</v>
      </c>
      <c r="O102" s="552" t="n">
        <v>0</v>
      </c>
      <c r="P102" s="552" t="n">
        <v>0</v>
      </c>
      <c r="Q102" s="552" t="n">
        <v>0</v>
      </c>
      <c r="R102" s="552" t="n">
        <v>0</v>
      </c>
      <c r="S102" s="552" t="n">
        <v>0</v>
      </c>
      <c r="T102" s="552" t="n">
        <v>0</v>
      </c>
      <c r="U102" s="552" t="n">
        <v>0</v>
      </c>
      <c r="V102" s="552" t="n">
        <v>0</v>
      </c>
      <c r="W102" s="606" t="n">
        <v>0</v>
      </c>
      <c r="X102" s="609">
        <f>W102*2</f>
        <v/>
      </c>
      <c r="Y102" s="610" t="n">
        <v>0</v>
      </c>
      <c r="Z102" s="610" t="n">
        <v>0</v>
      </c>
      <c r="AA102" s="609">
        <f>Y102*0.2</f>
        <v/>
      </c>
      <c r="AB102" s="611">
        <f>AA102+100</f>
        <v/>
      </c>
      <c r="AC102" s="612" t="n"/>
      <c r="AD102" s="312" t="n"/>
    </row>
    <row r="103" ht="16.8" customHeight="1">
      <c r="A103" s="294" t="n"/>
      <c r="B103" s="467" t="n"/>
      <c r="C103" s="643" t="n"/>
      <c r="D103" s="642" t="n"/>
      <c r="E103" s="221" t="n">
        <v>98</v>
      </c>
      <c r="F103" s="643" t="n"/>
      <c r="G103" s="606" t="n"/>
      <c r="H103" s="607" t="n"/>
      <c r="I103" s="606" t="n"/>
      <c r="J103" s="606" t="n"/>
      <c r="K103" s="606" t="n"/>
      <c r="L103" s="608" t="n"/>
      <c r="M103" s="552" t="n"/>
      <c r="N103" s="552" t="n">
        <v>0</v>
      </c>
      <c r="O103" s="552" t="n">
        <v>0</v>
      </c>
      <c r="P103" s="552" t="n">
        <v>0</v>
      </c>
      <c r="Q103" s="552" t="n">
        <v>0</v>
      </c>
      <c r="R103" s="552" t="n">
        <v>0</v>
      </c>
      <c r="S103" s="552" t="n">
        <v>0</v>
      </c>
      <c r="T103" s="552" t="n">
        <v>0</v>
      </c>
      <c r="U103" s="552" t="n">
        <v>0</v>
      </c>
      <c r="V103" s="552" t="n">
        <v>0</v>
      </c>
      <c r="W103" s="606" t="n">
        <v>0</v>
      </c>
      <c r="X103" s="609">
        <f>W103*2</f>
        <v/>
      </c>
      <c r="Y103" s="610" t="n">
        <v>0</v>
      </c>
      <c r="Z103" s="610" t="n">
        <v>0</v>
      </c>
      <c r="AA103" s="609">
        <f>Y103*0.2</f>
        <v/>
      </c>
      <c r="AB103" s="611">
        <f>AA103+100</f>
        <v/>
      </c>
      <c r="AC103" s="612" t="n"/>
      <c r="AD103" s="312" t="n"/>
    </row>
    <row r="104" ht="16.8" customHeight="1">
      <c r="A104" s="294" t="n"/>
      <c r="B104" s="467" t="n"/>
      <c r="C104" s="643" t="n"/>
      <c r="D104" s="642" t="n"/>
      <c r="E104" s="221" t="n">
        <v>99</v>
      </c>
      <c r="F104" s="643" t="n"/>
      <c r="G104" s="606" t="n"/>
      <c r="H104" s="607" t="n"/>
      <c r="I104" s="606" t="n"/>
      <c r="J104" s="606" t="n"/>
      <c r="K104" s="606" t="n"/>
      <c r="L104" s="608" t="n"/>
      <c r="M104" s="552" t="n"/>
      <c r="N104" s="552" t="n">
        <v>0</v>
      </c>
      <c r="O104" s="552" t="n">
        <v>0</v>
      </c>
      <c r="P104" s="552" t="n">
        <v>0</v>
      </c>
      <c r="Q104" s="552" t="n">
        <v>0</v>
      </c>
      <c r="R104" s="552" t="n">
        <v>0</v>
      </c>
      <c r="S104" s="552" t="n">
        <v>0</v>
      </c>
      <c r="T104" s="552" t="n">
        <v>0</v>
      </c>
      <c r="U104" s="552" t="n">
        <v>0</v>
      </c>
      <c r="V104" s="552" t="n">
        <v>0</v>
      </c>
      <c r="W104" s="606" t="n">
        <v>0</v>
      </c>
      <c r="X104" s="609">
        <f>W104*2</f>
        <v/>
      </c>
      <c r="Y104" s="610" t="n">
        <v>0</v>
      </c>
      <c r="Z104" s="610" t="n">
        <v>0</v>
      </c>
      <c r="AA104" s="609">
        <f>Y104*0.2</f>
        <v/>
      </c>
      <c r="AB104" s="611">
        <f>AA104+100</f>
        <v/>
      </c>
      <c r="AC104" s="612" t="n"/>
      <c r="AD104" s="312" t="n"/>
    </row>
    <row r="105" ht="16.8" customHeight="1" thickBot="1">
      <c r="A105" s="295" t="n"/>
      <c r="B105" s="534" t="n"/>
      <c r="C105" s="644" t="n"/>
      <c r="D105" s="645" t="n"/>
      <c r="E105" s="228" t="n">
        <v>100</v>
      </c>
      <c r="F105" s="644" t="n"/>
      <c r="G105" s="614" t="n"/>
      <c r="H105" s="615" t="n"/>
      <c r="I105" s="614" t="n"/>
      <c r="J105" s="614" t="n"/>
      <c r="K105" s="614" t="n"/>
      <c r="L105" s="616" t="n"/>
      <c r="M105" s="558" t="n"/>
      <c r="N105" s="558" t="n">
        <v>0</v>
      </c>
      <c r="O105" s="558" t="n">
        <v>0</v>
      </c>
      <c r="P105" s="558" t="n">
        <v>0</v>
      </c>
      <c r="Q105" s="558" t="n">
        <v>0</v>
      </c>
      <c r="R105" s="558" t="n">
        <v>0</v>
      </c>
      <c r="S105" s="558" t="n">
        <v>0</v>
      </c>
      <c r="T105" s="558" t="n">
        <v>0</v>
      </c>
      <c r="U105" s="558" t="n">
        <v>0</v>
      </c>
      <c r="V105" s="558" t="n">
        <v>0</v>
      </c>
      <c r="W105" s="614" t="n">
        <v>0</v>
      </c>
      <c r="X105" s="617">
        <f>W105*2</f>
        <v/>
      </c>
      <c r="Y105" s="618" t="n">
        <v>0</v>
      </c>
      <c r="Z105" s="618" t="n">
        <v>0</v>
      </c>
      <c r="AA105" s="617">
        <f>Y105*0.2</f>
        <v/>
      </c>
      <c r="AB105" s="619">
        <f>AA105+100</f>
        <v/>
      </c>
      <c r="AC105" s="646" t="n"/>
      <c r="AD105" s="317" t="n"/>
    </row>
    <row r="106" ht="26.25" customFormat="1" customHeight="1" s="26" thickBot="1">
      <c r="A106" s="429" t="n"/>
      <c r="B106" s="469" t="n"/>
      <c r="C106" s="469" t="n"/>
      <c r="D106" s="469" t="n"/>
      <c r="E106" s="469" t="n"/>
      <c r="F106" s="469" t="n"/>
      <c r="G106" s="469" t="n"/>
      <c r="H106" s="469" t="n"/>
      <c r="I106" s="469" t="n"/>
      <c r="J106" s="469" t="n"/>
      <c r="K106" s="469" t="n"/>
      <c r="L106" s="469" t="n"/>
      <c r="M106" s="470" t="n"/>
      <c r="N106" s="647">
        <f>SUM(N6:N105)</f>
        <v/>
      </c>
      <c r="O106" s="648">
        <f>SUM(O6:O99)</f>
        <v/>
      </c>
      <c r="P106" s="648">
        <f>SUM(P6:P105)</f>
        <v/>
      </c>
      <c r="Q106" s="648">
        <f>SUM(Q6:Q105)</f>
        <v/>
      </c>
      <c r="R106" s="649">
        <f>SUM(R6:R105)</f>
        <v/>
      </c>
      <c r="S106" s="648">
        <f>SUM(S6:S105)</f>
        <v/>
      </c>
      <c r="T106" s="648">
        <f>SUM(T6:T105)</f>
        <v/>
      </c>
      <c r="U106" s="650">
        <f>SUM(U6:U105)</f>
        <v/>
      </c>
      <c r="V106" s="651">
        <f>SUM(V6:V105)</f>
        <v/>
      </c>
      <c r="W106" s="651">
        <f>SUM(W6:W105)</f>
        <v/>
      </c>
      <c r="X106" s="651">
        <f>SUM(X6:X105)</f>
        <v/>
      </c>
      <c r="Y106" s="651">
        <f>SUM(Y6:Y105)</f>
        <v/>
      </c>
      <c r="Z106" s="651">
        <f>SUM(Z6:Z105)</f>
        <v/>
      </c>
      <c r="AA106" s="651">
        <f>SUM(AA6:AA105)</f>
        <v/>
      </c>
      <c r="AB106" s="651">
        <f>SUM(AB6:AB105)</f>
        <v/>
      </c>
      <c r="AC106" s="652" t="n"/>
      <c r="AD106" s="175" t="n"/>
    </row>
  </sheetData>
  <autoFilter ref="A4:D16"/>
  <mergeCells count="30">
    <mergeCell ref="R4:R5"/>
    <mergeCell ref="T4:T5"/>
    <mergeCell ref="A106:M106"/>
    <mergeCell ref="C4:C5"/>
    <mergeCell ref="V4:V5"/>
    <mergeCell ref="AB4:AB5"/>
    <mergeCell ref="E4:E5"/>
    <mergeCell ref="O4:O5"/>
    <mergeCell ref="B26:B105"/>
    <mergeCell ref="Q4:Q5"/>
    <mergeCell ref="A3:AD3"/>
    <mergeCell ref="AA4:AA5"/>
    <mergeCell ref="AC4:AC5"/>
    <mergeCell ref="L4:L5"/>
    <mergeCell ref="A2:AD2"/>
    <mergeCell ref="A4:A5"/>
    <mergeCell ref="X4:X5"/>
    <mergeCell ref="Z4:Z5"/>
    <mergeCell ref="AD4:AD5"/>
    <mergeCell ref="S4:S5"/>
    <mergeCell ref="U4:U5"/>
    <mergeCell ref="B4:B25"/>
    <mergeCell ref="M4:M5"/>
    <mergeCell ref="W4:W5"/>
    <mergeCell ref="F4:F5"/>
    <mergeCell ref="Y4:Y5"/>
    <mergeCell ref="N4:N5"/>
    <mergeCell ref="H4:H5"/>
    <mergeCell ref="P4:P5"/>
    <mergeCell ref="A1:AD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Patricia Mendez</dc:creator>
  <dcterms:created xmlns:dcterms="http://purl.org/dc/terms/" xmlns:xsi="http://www.w3.org/2001/XMLSchema-instance" xsi:type="dcterms:W3CDTF">2021-06-21T16:45:59Z</dcterms:created>
  <dcterms:modified xmlns:dcterms="http://purl.org/dc/terms/" xmlns:xsi="http://www.w3.org/2001/XMLSchema-instance" xsi:type="dcterms:W3CDTF">2026-06-10T21:15:38Z</dcterms:modified>
  <cp:lastModifiedBy>LyM Inversiones</cp:lastModifiedBy>
  <cp:lastPrinted>2026-05-25T23:11:43Z</cp:lastPrinted>
</cp:coreProperties>
</file>