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40" yWindow="5268" windowWidth="15348" windowHeight="8760" tabRatio="600" firstSheet="0" activeTab="1" autoFilterDateGrouping="1"/>
  </bookViews>
  <sheets>
    <sheet xmlns:r="http://schemas.openxmlformats.org/officeDocument/2006/relationships" name="Inventario General JUNIO" sheetId="1" state="visible" r:id="rId1"/>
    <sheet xmlns:r="http://schemas.openxmlformats.org/officeDocument/2006/relationships" name="Dashboard Gerencial" sheetId="2" state="visible" r:id="rId2"/>
    <sheet xmlns:r="http://schemas.openxmlformats.org/officeDocument/2006/relationships" name="Reportes Detalle" sheetId="3" state="visible" r:id="rId3"/>
    <sheet xmlns:r="http://schemas.openxmlformats.org/officeDocument/2006/relationships" name="Historial Disponible" sheetId="4" state="visible" r:id="rId4"/>
  </sheets>
  <definedNames>
    <definedName name="_xlnm._FilterDatabase" localSheetId="0" hidden="1">'Inventario General JUNIO'!$A$4:$Z$16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dd/mm/yyyy"/>
    <numFmt numFmtId="166" formatCode="0.0%"/>
    <numFmt numFmtId="167" formatCode="0.0"/>
  </numFmts>
  <fonts count="32">
    <font>
      <name val="Calibri"/>
      <color theme="1"/>
      <sz val="11"/>
    </font>
    <font>
      <name val="Calibri"/>
      <color theme="1"/>
      <sz val="11"/>
    </font>
    <font>
      <name val="Calibri"/>
      <color theme="10"/>
      <sz val="11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0"/>
      <sz val="12"/>
    </font>
    <font>
      <name val="Arial"/>
      <b val="1"/>
      <color theme="0"/>
      <sz val="11"/>
    </font>
    <font>
      <name val="Arial"/>
      <color theme="1"/>
      <sz val="12"/>
    </font>
    <font>
      <name val="Arial"/>
      <sz val="12"/>
    </font>
    <font>
      <name val="Arial"/>
      <b val="1"/>
      <sz val="12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b val="1"/>
      <sz val="12"/>
    </font>
    <font>
      <name val="Arial"/>
      <b val="1"/>
      <color rgb="FFFF0000"/>
      <sz val="11"/>
    </font>
    <font>
      <name val="Arial"/>
      <b val="1"/>
      <color rgb="FFFF0000"/>
      <sz val="12"/>
    </font>
    <font>
      <name val="Arial"/>
      <color rgb="FFFF0000"/>
      <sz val="12"/>
    </font>
    <font>
      <name val="Arial"/>
      <b val="1"/>
      <sz val="11"/>
    </font>
    <font>
      <name val="Arial"/>
      <color theme="1"/>
      <sz val="14"/>
    </font>
    <font>
      <name val="Arial"/>
      <b val="1"/>
      <color rgb="FFEEEEEE"/>
      <sz val="10"/>
    </font>
    <font>
      <name val="Arial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i val="1"/>
      <color rgb="FF1F4E78"/>
      <sz val="11"/>
    </font>
    <font>
      <name val="Calibri"/>
      <b val="1"/>
      <color rgb="FF7F6000"/>
      <sz val="11"/>
    </font>
    <font>
      <name val="Calibri"/>
      <b val="1"/>
      <color rgb="FF833C0C"/>
      <sz val="11"/>
    </font>
    <font>
      <name val="Arial"/>
      <b val="1"/>
      <color theme="1"/>
      <sz val="12"/>
    </font>
    <font>
      <name val="Arial"/>
      <b val="1"/>
      <sz val="12"/>
    </font>
    <font>
      <name val="Arial"/>
      <b val="1"/>
      <color theme="1"/>
      <sz val="11"/>
    </font>
    <font>
      <name val="Arial"/>
      <b val="1"/>
      <color rgb="FFEEEEEE"/>
      <sz val="10"/>
    </font>
    <font>
      <name val="Arial"/>
      <b val="1"/>
      <sz val="11"/>
    </font>
    <font>
      <name val="Arial"/>
      <b val="1"/>
      <color theme="0"/>
      <sz val="11"/>
    </font>
    <font>
      <name val="Calibri"/>
      <b val="1"/>
      <color rgb="FF08285A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theme="3"/>
      </patternFill>
    </fill>
    <fill>
      <patternFill patternType="solid">
        <fgColor theme="0" tint="-0.0499893185216834"/>
        <bgColor indexed="65"/>
      </patternFill>
    </fill>
    <fill>
      <patternFill patternType="solid">
        <fgColor theme="3" tint="0.3999755851924192"/>
        <bgColor indexed="65"/>
      </patternFill>
    </fill>
    <fill>
      <patternFill patternType="solid">
        <fgColor rgb="FF92D050"/>
      </patternFill>
    </fill>
    <fill>
      <patternFill patternType="solid">
        <fgColor theme="3" tint="0.7998901333658864"/>
        <bgColor indexed="65"/>
      </patternFill>
    </fill>
    <fill>
      <patternFill patternType="solid">
        <fgColor theme="8"/>
      </patternFill>
    </fill>
    <fill>
      <patternFill patternType="solid">
        <fgColor theme="5" tint="0.7998901333658864"/>
        <bgColor indexed="65"/>
      </patternFill>
    </fill>
    <fill>
      <patternFill patternType="solid">
        <fgColor rgb="FF7CEB99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FF7474"/>
      </patternFill>
    </fill>
    <fill>
      <patternFill patternType="solid">
        <fgColor rgb="FF305496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FCC66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08285A"/>
      </patternFill>
    </fill>
    <fill>
      <patternFill patternType="solid">
        <fgColor rgb="FFFFF2CC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80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0" pivotButton="0" quotePrefix="0" xfId="0"/>
    <xf numFmtId="0" fontId="6" fillId="4" borderId="1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6" borderId="10" applyAlignment="1" pivotButton="0" quotePrefix="0" xfId="2">
      <alignment horizontal="center" vertical="center"/>
    </xf>
    <xf numFmtId="15" fontId="9" fillId="5" borderId="11" applyAlignment="1" pivotButton="0" quotePrefix="0" xfId="0">
      <alignment horizontal="left" vertical="center"/>
    </xf>
    <xf numFmtId="15" fontId="9" fillId="5" borderId="12" applyAlignment="1" pivotButton="0" quotePrefix="0" xfId="0">
      <alignment horizontal="left" vertical="center"/>
    </xf>
    <xf numFmtId="164" fontId="10" fillId="7" borderId="10" applyAlignment="1" pivotButton="0" quotePrefix="0" xfId="1">
      <alignment vertical="center"/>
    </xf>
    <xf numFmtId="0" fontId="12" fillId="5" borderId="14" applyAlignment="1" pivotButton="0" quotePrefix="0" xfId="2">
      <alignment horizontal="center" vertical="center"/>
    </xf>
    <xf numFmtId="15" fontId="9" fillId="5" borderId="15" applyAlignment="1" pivotButton="0" quotePrefix="0" xfId="0">
      <alignment horizontal="left" vertical="center"/>
    </xf>
    <xf numFmtId="15" fontId="9" fillId="5" borderId="16" applyAlignment="1" pivotButton="0" quotePrefix="0" xfId="0">
      <alignment horizontal="left" vertical="center"/>
    </xf>
    <xf numFmtId="0" fontId="12" fillId="5" borderId="10" applyAlignment="1" pivotButton="0" quotePrefix="0" xfId="2">
      <alignment horizontal="center" vertical="center"/>
    </xf>
    <xf numFmtId="0" fontId="12" fillId="2" borderId="18" applyAlignment="1" pivotButton="0" quotePrefix="0" xfId="2">
      <alignment horizontal="center" vertical="center"/>
    </xf>
    <xf numFmtId="0" fontId="12" fillId="2" borderId="16" applyAlignment="1" pivotButton="0" quotePrefix="0" xfId="2">
      <alignment horizontal="center" vertical="center"/>
    </xf>
    <xf numFmtId="0" fontId="3" fillId="8" borderId="0" pivotButton="0" quotePrefix="0" xfId="0"/>
    <xf numFmtId="0" fontId="12" fillId="5" borderId="23" applyAlignment="1" pivotButton="0" quotePrefix="0" xfId="2">
      <alignment horizontal="center" vertical="center"/>
    </xf>
    <xf numFmtId="0" fontId="12" fillId="5" borderId="4" applyAlignment="1" pivotButton="0" quotePrefix="0" xfId="2">
      <alignment horizontal="center" vertical="center"/>
    </xf>
    <xf numFmtId="0" fontId="12" fillId="2" borderId="10" applyAlignment="1" pivotButton="0" quotePrefix="0" xfId="2">
      <alignment horizontal="center" vertical="center"/>
    </xf>
    <xf numFmtId="0" fontId="12" fillId="2" borderId="23" applyAlignment="1" pivotButton="0" quotePrefix="0" xfId="2">
      <alignment horizontal="center" vertical="center"/>
    </xf>
    <xf numFmtId="0" fontId="12" fillId="5" borderId="18" applyAlignment="1" pivotButton="0" quotePrefix="0" xfId="2">
      <alignment horizontal="center" vertical="center"/>
    </xf>
    <xf numFmtId="0" fontId="12" fillId="5" borderId="16" applyAlignment="1" pivotButton="0" quotePrefix="0" xfId="2">
      <alignment horizontal="center" vertical="center"/>
    </xf>
    <xf numFmtId="0" fontId="12" fillId="5" borderId="21" applyAlignment="1" pivotButton="0" quotePrefix="0" xfId="2">
      <alignment horizontal="center" vertical="center"/>
    </xf>
    <xf numFmtId="15" fontId="9" fillId="5" borderId="25" applyAlignment="1" pivotButton="0" quotePrefix="0" xfId="0">
      <alignment horizontal="left" vertical="center"/>
    </xf>
    <xf numFmtId="15" fontId="9" fillId="5" borderId="21" applyAlignment="1" pivotButton="0" quotePrefix="0" xfId="0">
      <alignment horizontal="left" vertical="center"/>
    </xf>
    <xf numFmtId="15" fontId="9" fillId="5" borderId="22" applyAlignment="1" pivotButton="0" quotePrefix="0" xfId="0">
      <alignment horizontal="left" vertical="center"/>
    </xf>
    <xf numFmtId="15" fontId="9" fillId="5" borderId="23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vertical="center"/>
    </xf>
    <xf numFmtId="0" fontId="10" fillId="0" borderId="14" applyAlignment="1" pivotButton="0" quotePrefix="0" xfId="0">
      <alignment vertical="center"/>
    </xf>
    <xf numFmtId="0" fontId="10" fillId="2" borderId="18" applyAlignment="1" pivotButton="0" quotePrefix="0" xfId="0">
      <alignment vertical="center"/>
    </xf>
    <xf numFmtId="0" fontId="10" fillId="2" borderId="1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8" fillId="13" borderId="16" applyAlignment="1" pivotButton="0" quotePrefix="0" xfId="0">
      <alignment horizontal="left" vertical="center"/>
    </xf>
    <xf numFmtId="0" fontId="10" fillId="2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10" fillId="2" borderId="11" applyAlignment="1" pivotButton="0" quotePrefix="0" xfId="0">
      <alignment vertical="center"/>
    </xf>
    <xf numFmtId="0" fontId="14" fillId="2" borderId="2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2" borderId="15" applyAlignment="1" pivotButton="0" quotePrefix="0" xfId="0">
      <alignment vertical="center"/>
    </xf>
    <xf numFmtId="0" fontId="15" fillId="2" borderId="15" applyAlignment="1" pivotButton="0" quotePrefix="0" xfId="0">
      <alignment vertical="center"/>
    </xf>
    <xf numFmtId="0" fontId="7" fillId="11" borderId="13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164" fontId="7" fillId="2" borderId="0" applyAlignment="1" pivotButton="0" quotePrefix="0" xfId="0">
      <alignment vertical="center"/>
    </xf>
    <xf numFmtId="164" fontId="10" fillId="12" borderId="27" applyAlignment="1" pivotButton="0" quotePrefix="0" xfId="1">
      <alignment vertical="center"/>
    </xf>
    <xf numFmtId="164" fontId="10" fillId="12" borderId="33" applyAlignment="1" pivotButton="0" quotePrefix="0" xfId="1">
      <alignment vertical="center"/>
    </xf>
    <xf numFmtId="0" fontId="19" fillId="17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165" fontId="7" fillId="2" borderId="0" applyAlignment="1" pivotButton="0" quotePrefix="0" xfId="0">
      <alignment vertical="center"/>
    </xf>
    <xf numFmtId="165" fontId="0" fillId="0" borderId="0" pivotButton="0" quotePrefix="0" xfId="0"/>
    <xf numFmtId="1" fontId="0" fillId="0" borderId="0" pivotButton="0" quotePrefix="0" xfId="0"/>
    <xf numFmtId="0" fontId="21" fillId="18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15" fontId="9" fillId="5" borderId="34" applyAlignment="1" pivotButton="0" quotePrefix="0" xfId="0">
      <alignment horizontal="left" vertical="center"/>
    </xf>
    <xf numFmtId="15" fontId="9" fillId="5" borderId="35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165" fontId="9" fillId="2" borderId="13" applyAlignment="1" pivotButton="0" quotePrefix="0" xfId="0">
      <alignment horizontal="center" vertical="center"/>
    </xf>
    <xf numFmtId="165" fontId="8" fillId="2" borderId="19" applyAlignment="1" pivotButton="0" quotePrefix="0" xfId="0">
      <alignment horizontal="center" vertical="center"/>
    </xf>
    <xf numFmtId="165" fontId="9" fillId="2" borderId="11" applyAlignment="1" pivotButton="0" quotePrefix="0" xfId="0">
      <alignment horizontal="center" vertical="center"/>
    </xf>
    <xf numFmtId="165" fontId="8" fillId="2" borderId="20" applyAlignment="1" pivotButton="0" quotePrefix="0" xfId="0">
      <alignment horizontal="center" vertical="center"/>
    </xf>
    <xf numFmtId="165" fontId="8" fillId="5" borderId="24" applyAlignment="1" pivotButton="0" quotePrefix="0" xfId="0">
      <alignment horizontal="center" vertical="center"/>
    </xf>
    <xf numFmtId="165" fontId="9" fillId="2" borderId="22" applyAlignment="1" pivotButton="0" quotePrefix="0" xfId="0">
      <alignment horizontal="center" vertical="center"/>
    </xf>
    <xf numFmtId="165" fontId="8" fillId="5" borderId="6" applyAlignment="1" pivotButton="0" quotePrefix="0" xfId="0">
      <alignment horizontal="center" vertical="center"/>
    </xf>
    <xf numFmtId="165" fontId="9" fillId="2" borderId="15" applyAlignment="1" pivotButton="0" quotePrefix="0" xfId="0">
      <alignment horizontal="center" vertical="center"/>
    </xf>
    <xf numFmtId="165" fontId="8" fillId="2" borderId="2" applyAlignment="1" pivotButton="0" quotePrefix="0" xfId="0">
      <alignment horizontal="center" vertical="center"/>
    </xf>
    <xf numFmtId="165" fontId="8" fillId="2" borderId="24" applyAlignment="1" pivotButton="0" quotePrefix="0" xfId="0">
      <alignment horizontal="center" vertical="center"/>
    </xf>
    <xf numFmtId="165" fontId="8" fillId="5" borderId="19" applyAlignment="1" pivotButton="0" quotePrefix="0" xfId="0">
      <alignment horizontal="center" vertical="center"/>
    </xf>
    <xf numFmtId="165" fontId="9" fillId="5" borderId="11" applyAlignment="1" pivotButton="0" quotePrefix="0" xfId="0">
      <alignment horizontal="center" vertical="center"/>
    </xf>
    <xf numFmtId="165" fontId="8" fillId="5" borderId="20" applyAlignment="1" pivotButton="0" quotePrefix="0" xfId="0">
      <alignment horizontal="center" vertical="center"/>
    </xf>
    <xf numFmtId="165" fontId="9" fillId="5" borderId="15" applyAlignment="1" pivotButton="0" quotePrefix="0" xfId="0">
      <alignment horizontal="center" vertical="center"/>
    </xf>
    <xf numFmtId="165" fontId="9" fillId="5" borderId="25" applyAlignment="1" pivotButton="0" quotePrefix="0" xfId="0">
      <alignment horizontal="center" vertical="center"/>
    </xf>
    <xf numFmtId="165" fontId="9" fillId="5" borderId="22" applyAlignment="1" pivotButton="0" quotePrefix="0" xfId="0">
      <alignment horizontal="center" vertical="center"/>
    </xf>
    <xf numFmtId="167" fontId="0" fillId="0" borderId="0" pivotButton="0" quotePrefix="0" xfId="0"/>
    <xf numFmtId="49" fontId="0" fillId="0" borderId="0" pivotButton="0" quotePrefix="0" xfId="0"/>
    <xf numFmtId="0" fontId="10" fillId="3" borderId="9" applyAlignment="1" pivotButton="0" quotePrefix="0" xfId="0">
      <alignment vertical="center"/>
    </xf>
    <xf numFmtId="0" fontId="10" fillId="3" borderId="36" applyAlignment="1" pivotButton="0" quotePrefix="0" xfId="0">
      <alignment vertical="center"/>
    </xf>
    <xf numFmtId="0" fontId="12" fillId="5" borderId="35" applyAlignment="1" pivotButton="0" quotePrefix="0" xfId="2">
      <alignment horizontal="center" vertical="center"/>
    </xf>
    <xf numFmtId="164" fontId="25" fillId="12" borderId="27" applyAlignment="1" pivotButton="0" quotePrefix="0" xfId="1">
      <alignment vertical="center"/>
    </xf>
    <xf numFmtId="164" fontId="25" fillId="9" borderId="16" applyAlignment="1" pivotButton="0" quotePrefix="0" xfId="1">
      <alignment vertical="center"/>
    </xf>
    <xf numFmtId="164" fontId="25" fillId="10" borderId="18" applyAlignment="1" pivotButton="0" quotePrefix="0" xfId="1">
      <alignment vertical="center"/>
    </xf>
    <xf numFmtId="0" fontId="28" fillId="13" borderId="29" applyAlignment="1" pivotButton="0" quotePrefix="0" xfId="0">
      <alignment horizontal="left" vertical="center"/>
    </xf>
    <xf numFmtId="0" fontId="29" fillId="7" borderId="29" applyAlignment="1" pivotButton="0" quotePrefix="0" xfId="0">
      <alignment horizontal="left" vertical="center" wrapText="1"/>
    </xf>
    <xf numFmtId="0" fontId="27" fillId="14" borderId="31" applyAlignment="1" pivotButton="0" quotePrefix="0" xfId="0">
      <alignment horizontal="left" vertical="center"/>
    </xf>
    <xf numFmtId="164" fontId="25" fillId="25" borderId="14" applyAlignment="1" pivotButton="0" quotePrefix="0" xfId="1">
      <alignment vertical="center"/>
    </xf>
    <xf numFmtId="164" fontId="26" fillId="26" borderId="18" applyAlignment="1" pivotButton="0" quotePrefix="0" xfId="1">
      <alignment vertical="center"/>
    </xf>
    <xf numFmtId="164" fontId="25" fillId="27" borderId="29" applyAlignment="1" pivotButton="0" quotePrefix="0" xfId="1">
      <alignment vertical="center"/>
    </xf>
    <xf numFmtId="0" fontId="30" fillId="28" borderId="29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1" fontId="8" fillId="5" borderId="13" applyAlignment="1" pivotButton="0" quotePrefix="0" xfId="0">
      <alignment horizontal="center" vertical="center"/>
    </xf>
    <xf numFmtId="1" fontId="8" fillId="2" borderId="11" applyAlignment="1" pivotButton="0" quotePrefix="0" xfId="0">
      <alignment horizontal="center" vertical="center"/>
    </xf>
    <xf numFmtId="1" fontId="8" fillId="2" borderId="15" applyAlignment="1" pivotButton="0" quotePrefix="0" xfId="0">
      <alignment horizontal="center" vertical="center"/>
    </xf>
    <xf numFmtId="1" fontId="8" fillId="5" borderId="22" applyAlignment="1" pivotButton="0" quotePrefix="0" xfId="0">
      <alignment horizontal="center" vertical="center"/>
    </xf>
    <xf numFmtId="1" fontId="8" fillId="5" borderId="5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1" fontId="8" fillId="2" borderId="22" applyAlignment="1" pivotButton="0" quotePrefix="0" xfId="0">
      <alignment horizontal="center" vertical="center"/>
    </xf>
    <xf numFmtId="1" fontId="8" fillId="5" borderId="11" applyAlignment="1" pivotButton="0" quotePrefix="0" xfId="0">
      <alignment horizontal="center" vertical="center"/>
    </xf>
    <xf numFmtId="1" fontId="8" fillId="5" borderId="15" applyAlignment="1" pivotButton="0" quotePrefix="0" xfId="0">
      <alignment horizontal="center" vertical="center"/>
    </xf>
    <xf numFmtId="1" fontId="8" fillId="5" borderId="25" applyAlignment="1" pivotButton="0" quotePrefix="0" xfId="0">
      <alignment horizontal="center" vertical="center"/>
    </xf>
    <xf numFmtId="1" fontId="9" fillId="5" borderId="2" applyAlignment="1" pivotButton="0" quotePrefix="0" xfId="0">
      <alignment horizontal="center" vertical="center"/>
    </xf>
    <xf numFmtId="1" fontId="9" fillId="5" borderId="0" applyAlignment="1" pivotButton="0" quotePrefix="0" xfId="0">
      <alignment horizontal="center" vertical="center"/>
    </xf>
    <xf numFmtId="1" fontId="9" fillId="2" borderId="19" applyAlignment="1" pivotButton="0" quotePrefix="0" xfId="0">
      <alignment horizontal="center" vertical="center"/>
    </xf>
    <xf numFmtId="1" fontId="9" fillId="2" borderId="20" applyAlignment="1" pivotButton="0" quotePrefix="0" xfId="0">
      <alignment horizontal="center" vertical="center"/>
    </xf>
    <xf numFmtId="1" fontId="9" fillId="5" borderId="24" applyAlignment="1" pivotButton="0" quotePrefix="0" xfId="0">
      <alignment horizontal="center" vertical="center"/>
    </xf>
    <xf numFmtId="1" fontId="9" fillId="5" borderId="6" applyAlignment="1" pivotButton="0" quotePrefix="0" xfId="0">
      <alignment horizontal="center" vertical="center"/>
    </xf>
    <xf numFmtId="1" fontId="9" fillId="5" borderId="19" applyAlignment="1" pivotButton="0" quotePrefix="0" xfId="0">
      <alignment horizontal="center" vertical="center"/>
    </xf>
    <xf numFmtId="1" fontId="14" fillId="5" borderId="24" applyAlignment="1" pivotButton="0" quotePrefix="0" xfId="0">
      <alignment horizontal="center" vertical="center"/>
    </xf>
    <xf numFmtId="1" fontId="9" fillId="5" borderId="20" applyAlignment="1" pivotButton="0" quotePrefix="0" xfId="0">
      <alignment horizontal="center" vertical="center"/>
    </xf>
    <xf numFmtId="1" fontId="14" fillId="5" borderId="20" applyAlignment="1" pivotButton="0" quotePrefix="0" xfId="0">
      <alignment horizontal="center" vertical="center"/>
    </xf>
    <xf numFmtId="1" fontId="9" fillId="5" borderId="26" applyAlignment="1" pivotButton="0" quotePrefix="0" xfId="0">
      <alignment horizontal="center" vertical="center"/>
    </xf>
    <xf numFmtId="1" fontId="11" fillId="0" borderId="28" applyAlignment="1" pivotButton="0" quotePrefix="0" xfId="0">
      <alignment horizontal="center" vertical="center"/>
    </xf>
    <xf numFmtId="1" fontId="11" fillId="0" borderId="30" applyAlignment="1" pivotButton="0" quotePrefix="0" xfId="0">
      <alignment horizontal="center" vertical="center"/>
    </xf>
    <xf numFmtId="1" fontId="11" fillId="2" borderId="30" applyAlignment="1" pivotButton="0" quotePrefix="0" xfId="0">
      <alignment horizontal="center" vertical="center"/>
    </xf>
    <xf numFmtId="1" fontId="16" fillId="2" borderId="30" applyAlignment="1" pivotButton="0" quotePrefix="0" xfId="0">
      <alignment horizontal="center" vertical="center"/>
    </xf>
    <xf numFmtId="1" fontId="11" fillId="0" borderId="32" applyAlignment="1" pivotButton="0" quotePrefix="0" xfId="0">
      <alignment horizontal="center" vertical="center"/>
    </xf>
    <xf numFmtId="166" fontId="21" fillId="18" borderId="0" applyAlignment="1" pivotButton="0" quotePrefix="0" xfId="0">
      <alignment horizontal="center" vertical="center" wrapText="1"/>
    </xf>
    <xf numFmtId="1" fontId="21" fillId="1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29" borderId="0" applyAlignment="1" pivotButton="0" quotePrefix="0" xfId="0">
      <alignment horizontal="center" vertical="center" wrapText="1"/>
    </xf>
    <xf numFmtId="166" fontId="20" fillId="29" borderId="0" applyAlignment="1" pivotButton="0" quotePrefix="0" xfId="0">
      <alignment horizontal="center" vertical="center" wrapText="1"/>
    </xf>
    <xf numFmtId="165" fontId="20" fillId="29" borderId="0" applyAlignment="1" pivotButton="0" quotePrefix="0" xfId="0">
      <alignment horizontal="center" vertical="center" wrapText="1"/>
    </xf>
    <xf numFmtId="1" fontId="20" fillId="29" borderId="0" applyAlignment="1" pivotButton="0" quotePrefix="0" xfId="0">
      <alignment horizontal="center" vertical="center" wrapText="1"/>
    </xf>
    <xf numFmtId="167" fontId="20" fillId="29" borderId="0" applyAlignment="1" pivotButton="0" quotePrefix="0" xfId="0">
      <alignment horizontal="center" vertical="center" wrapText="1"/>
    </xf>
    <xf numFmtId="1" fontId="31" fillId="30" borderId="0" applyAlignment="1" pivotButton="0" quotePrefix="0" xfId="0">
      <alignment horizontal="center"/>
    </xf>
    <xf numFmtId="167" fontId="31" fillId="30" borderId="0" applyAlignment="1" pivotButton="0" quotePrefix="0" xfId="0">
      <alignment horizontal="center"/>
    </xf>
    <xf numFmtId="0" fontId="31" fillId="30" borderId="0" applyAlignment="1" pivotButton="0" quotePrefix="0" xfId="0">
      <alignment horizontal="center"/>
    </xf>
    <xf numFmtId="0" fontId="19" fillId="15" borderId="0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2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0" fillId="0" borderId="0" pivotButton="0" quotePrefix="0" xfId="0"/>
    <xf numFmtId="0" fontId="22" fillId="19" borderId="0" applyAlignment="1" pivotButton="0" quotePrefix="0" xfId="0">
      <alignment horizontal="center"/>
    </xf>
    <xf numFmtId="0" fontId="23" fillId="20" borderId="0" applyAlignment="1" pivotButton="0" quotePrefix="0" xfId="0">
      <alignment wrapText="1"/>
    </xf>
    <xf numFmtId="0" fontId="20" fillId="21" borderId="0" applyAlignment="1" pivotButton="0" quotePrefix="0" xfId="0">
      <alignment horizontal="center" vertical="center" wrapText="1"/>
    </xf>
    <xf numFmtId="0" fontId="20" fillId="22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20" fillId="2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4" fillId="23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4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</cellXfs>
  <cellStyles count="3">
    <cellStyle name="Normal" xfId="0" builtinId="0"/>
    <cellStyle name="Moneda" xfId="1"/>
    <cellStyle name="Hipervínculo" xfId="2"/>
  </cellStyles>
  <dxfs count="8">
    <dxf>
      <font>
        <b val="1"/>
        <color rgb="FF000000"/>
      </font>
      <fill>
        <patternFill patternType="solid">
          <bgColor rgb="FFF4B183"/>
        </patternFill>
      </fill>
    </dxf>
    <dxf>
      <font>
        <b val="1"/>
        <color rgb="FF000000"/>
      </font>
      <fill>
        <patternFill patternType="solid">
          <bgColor rgb="FF5B9BD5"/>
        </patternFill>
      </fill>
    </dxf>
    <dxf>
      <font>
        <b val="1"/>
        <color rgb="FF000000"/>
      </font>
      <fill>
        <patternFill patternType="solid">
          <bgColor rgb="FF9DC3E6"/>
        </patternFill>
      </fill>
    </dxf>
    <dxf>
      <font>
        <b val="1"/>
        <color rgb="FF000000"/>
      </font>
      <fill>
        <patternFill patternType="solid">
          <bgColor rgb="FFC9B2F5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  <color rgb="FF000000"/>
      </font>
      <fill>
        <patternFill patternType="solid">
          <bgColor rgb="FFFFCC66"/>
        </patternFill>
      </fill>
    </dxf>
    <dxf>
      <font>
        <b val="1"/>
        <color rgb="FF000000"/>
      </font>
      <fill>
        <patternFill patternType="solid">
          <bgColor rgb="FFED7D31"/>
        </patternFill>
      </fill>
    </dxf>
    <dxf>
      <font>
        <b val="1"/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s-HN"/>
              <a:t>Estatus activo sin vendidos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/>
          <a:r>
            <a:t/>
          </a:r>
          <a:endParaRPr lang="es-HN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Unidades</v>
          </tx>
          <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HN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6"/>
              <pt idx="0">
                <v>TRANSITO</v>
              </pt>
              <pt idx="1">
                <v>REPARACION</v>
              </pt>
              <pt idx="2">
                <v>DISPONIBLE VENTA</v>
              </pt>
              <pt idx="3">
                <v>LEGALIZACION</v>
              </pt>
              <pt idx="4">
                <v>ADUANA</v>
              </pt>
              <pt idx="5">
                <v>SERVICIO DE IMPORTACION</v>
              </pt>
            </strLit>
          </cat>
          <val>
            <numLit>
              <formatCode>General</formatCode>
              <ptCount val="6"/>
              <pt idx="0">
                <v>27</v>
              </pt>
              <pt idx="1">
                <v>12</v>
              </pt>
              <pt idx="2">
                <v>8</v>
              </pt>
              <pt idx="3">
                <v>6</v>
              </pt>
              <pt idx="4">
                <v>3</v>
              </pt>
              <pt idx="5">
                <v>2</v>
              </pt>
            </numLit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50112"/>
        <crosses val="autoZero"/>
        <crossBetween val="between"/>
      </valAx>
    </plotArea>
    <plotVisOnly val="1"/>
    <dispBlanksAs val="zero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HN"/>
              <a:t>Estatus general incluyendo vendidos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Unidades</v>
          </tx>
          <spPr>
            <a:ln xmlns:a="http://schemas.openxmlformats.org/drawingml/2006/main">
              <a:prstDash val="solid"/>
            </a:ln>
          </spPr>
          <invertIfNegative val="1"/>
          <cat>
            <strLit>
              <ptCount val="7"/>
              <pt idx="0">
                <v>TRANSITO</v>
              </pt>
              <pt idx="1">
                <v>VENDIDO</v>
              </pt>
              <pt idx="2">
                <v>REPARACION</v>
              </pt>
              <pt idx="3">
                <v>DISPONIBLE VENTA</v>
              </pt>
              <pt idx="4">
                <v>LEGALIZACION</v>
              </pt>
              <pt idx="5">
                <v>ADUANA</v>
              </pt>
              <pt idx="6">
                <v>SERVICIO DE IMPORTACION</v>
              </pt>
            </strLit>
          </cat>
          <val>
            <numLit>
              <formatCode>General</formatCode>
              <ptCount val="7"/>
              <pt idx="0">
                <v>27</v>
              </pt>
              <pt idx="1">
                <v>25</v>
              </pt>
              <pt idx="2">
                <v>12</v>
              </pt>
              <pt idx="3">
                <v>8</v>
              </pt>
              <pt idx="4">
                <v>6</v>
              </pt>
              <pt idx="5">
                <v>3</v>
              </pt>
              <pt idx="6">
                <v>2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s-HN"/>
              <a:t>Unidades vendidas por mes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/>
          <a:r>
            <a:t/>
          </a:r>
          <a:endParaRPr lang="es-HN"/>
        </a:p>
      </txPr>
    </title>
    <plotArea>
      <layout/>
      <lineChart>
        <grouping val="standard"/>
        <varyColors val="1"/>
        <ser>
          <idx val="0"/>
          <order val="0"/>
          <tx>
            <v>Vendidos</v>
          </tx>
          <spPr>
            <a:ln xmlns:a="http://schemas.openxmlformats.org/drawingml/2006/main">
              <a:prstDash val="solid"/>
            </a:ln>
          </spPr>
          <marker>
            <symbol val="circle"/>
            <size val="17"/>
            <spPr>
              <a:ln xmlns:a="http://schemas.openxmlformats.org/drawingml/2006/main">
                <a:prstDash val="solid"/>
              </a:ln>
            </spPr>
          </marker>
          <dPt>
            <idx val="0"/>
            <marker>
              <symbol val="circle"/>
              <size val="17"/>
              <spPr>
                <a:solidFill xmlns:a="http://schemas.openxmlformats.org/drawingml/2006/main">
                  <a:schemeClr val="accent1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circle"/>
              <size val="17"/>
              <spPr>
                <a:solidFill xmlns:a="http://schemas.openxmlformats.org/drawingml/2006/main">
                  <a:schemeClr val="accent2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circle"/>
              <size val="17"/>
              <spPr>
                <a:solidFill xmlns:a="http://schemas.openxmlformats.org/drawingml/2006/main">
                  <a:schemeClr val="accent3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circle"/>
              <size val="17"/>
              <spPr>
                <a:solidFill xmlns:a="http://schemas.openxmlformats.org/drawingml/2006/main">
                  <a:schemeClr val="accent4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circle"/>
              <size val="17"/>
              <spPr>
                <a:solidFill xmlns:a="http://schemas.openxmlformats.org/drawingml/2006/main">
                  <a:schemeClr val="accent5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circle"/>
              <size val="17"/>
              <spPr>
                <a:solidFill xmlns:a="http://schemas.openxmlformats.org/drawingml/2006/main">
                  <a:schemeClr val="accent6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circle"/>
              <size val="17"/>
              <spPr>
                <a:solidFill xmlns:a="http://schemas.openxmlformats.org/drawingml/2006/main">
                  <a:schemeClr val="accent1">
                    <a:lumMod val="60000"/>
                  </a:schemeClr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circle"/>
              <size val="17"/>
              <spPr>
                <a:solidFill xmlns:a="http://schemas.openxmlformats.org/drawingml/2006/main">
                  <a:schemeClr val="accent2">
                    <a:lumMod val="60000"/>
                  </a:schemeClr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8"/>
              <pt idx="0">
                <v>Noviembre 2025</v>
              </pt>
              <pt idx="1">
                <v>Diciembre 2025</v>
              </pt>
              <pt idx="2">
                <v>Enero 2026</v>
              </pt>
              <pt idx="3">
                <v>Febrero 2026</v>
              </pt>
              <pt idx="4">
                <v>Marzo 2026</v>
              </pt>
              <pt idx="5">
                <v>Abril 2026</v>
              </pt>
              <pt idx="6">
                <v>Mayo 2026</v>
              </pt>
              <pt idx="7">
                <v>Junio 2026</v>
              </pt>
            </strLit>
          </cat>
          <val>
            <numLit>
              <formatCode>General</formatCode>
              <ptCount val="8"/>
              <pt idx="0">
                <v>2</v>
              </pt>
              <pt idx="1">
                <v>2</v>
              </pt>
              <pt idx="2">
                <v>1</v>
              </pt>
              <pt idx="3">
                <v>5</v>
              </pt>
              <pt idx="4">
                <v>8</v>
              </pt>
              <pt idx="5">
                <v>5</v>
              </pt>
              <pt idx="6">
                <v>0</v>
              </pt>
              <pt idx="7">
                <v>2</v>
              </pt>
            </numLit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HN"/>
              <a:t>Marcas en inventario activo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Unidades activas</v>
          </tx>
          <spPr>
            <a:ln xmlns:a="http://schemas.openxmlformats.org/drawingml/2006/main">
              <a:prstDash val="solid"/>
            </a:ln>
          </spPr>
          <invertIfNegative val="1"/>
          <cat>
            <strLit>
              <ptCount val="9"/>
              <pt idx="0">
                <v>HYUNDAI</v>
              </pt>
              <pt idx="1">
                <v>KIA</v>
              </pt>
              <pt idx="2">
                <v>NISSAN</v>
              </pt>
              <pt idx="3">
                <v>CHEVROLET</v>
              </pt>
              <pt idx="4">
                <v>FORD</v>
              </pt>
              <pt idx="5">
                <v>MITSUBISHI</v>
              </pt>
              <pt idx="6">
                <v>JEEP</v>
              </pt>
              <pt idx="7">
                <v>MAZDA</v>
              </pt>
              <pt idx="8">
                <v>TOYOTA</v>
              </pt>
            </strLit>
          </cat>
          <val>
            <numLit>
              <formatCode>General</formatCode>
              <ptCount val="9"/>
              <pt idx="0">
                <v>15</v>
              </pt>
              <pt idx="1">
                <v>13</v>
              </pt>
              <pt idx="2">
                <v>13</v>
              </pt>
              <pt idx="3">
                <v>7</v>
              </pt>
              <pt idx="4">
                <v>4</v>
              </pt>
              <pt idx="5">
                <v>3</v>
              </pt>
              <pt idx="6">
                <v>1</v>
              </pt>
              <pt idx="7">
                <v>1</v>
              </pt>
              <pt idx="8">
                <v>1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s-HN"/>
              <a:t>Disponibles para venta por semana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/>
          <a:r>
            <a:t/>
          </a:r>
          <a:endParaRPr lang="es-H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Unidades disponibles</v>
          </tx>
          <spPr>
            <a:gradFill xmlns:a="http://schemas.openxmlformats.org/drawingml/2006/main"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 xmlns:a="http://schemas.openxmlformats.org/drawingml/2006/main">
              <a:noFill/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HN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2"/>
              <pt idx="0">
                <v>25-30 mayo</v>
              </pt>
              <pt idx="1">
                <v>08-13 junio</v>
              </pt>
            </strLit>
          </cat>
          <val>
            <numLit>
              <formatCode>General</formatCode>
              <ptCount val="2"/>
              <pt idx="0">
                <v>8</v>
              </pt>
              <pt idx="1">
                <v>8</v>
              </pt>
            </numLit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41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effectLst/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gradFill xmlns:a="http://schemas.openxmlformats.org/drawingml/2006/main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281940</colOff>
      <row>6</row>
      <rowOff>137160</rowOff>
    </from>
    <ext cx="4000500" cy="2476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274320</colOff>
      <row>6</row>
      <rowOff>144780</rowOff>
    </from>
    <ext cx="4000500" cy="2476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334000" cy="28575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594360</colOff>
      <row>56</row>
      <rowOff>38100</rowOff>
    </from>
    <ext cx="4953000" cy="28575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731520</colOff>
      <row>19</row>
      <rowOff>137160</rowOff>
    </from>
    <ext cx="4572000" cy="2667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"/>
  <sheetViews>
    <sheetView topLeftCell="A18" zoomScale="63" workbookViewId="0">
      <pane ySplit="4" topLeftCell="A5" activePane="bottomLeft" state="frozen"/>
      <selection pane="bottomLeft" activeCell="J11" sqref="J11:K11"/>
    </sheetView>
  </sheetViews>
  <sheetFormatPr baseColWidth="10" defaultColWidth="8.88671875" defaultRowHeight="14.4"/>
  <cols>
    <col width="13.6640625" customWidth="1" style="1" min="1" max="1"/>
    <col width="10.77734375" bestFit="1" customWidth="1" style="2" min="2" max="2"/>
    <col width="20.77734375" bestFit="1" customWidth="1" style="2" min="3" max="3"/>
    <col width="18.77734375" bestFit="1" customWidth="1" style="2" min="4" max="4"/>
    <col width="14.5546875" bestFit="1" customWidth="1" style="2" min="5" max="5"/>
    <col width="25.6640625" bestFit="1" customWidth="1" style="2" min="6" max="6"/>
    <col width="5.88671875" bestFit="1" customWidth="1" style="2" min="7" max="7"/>
    <col width="26.44140625" bestFit="1" customWidth="1" style="2" min="8" max="8"/>
    <col width="60.6640625" bestFit="1" customWidth="1" style="2" min="9" max="9"/>
    <col width="26.44140625" bestFit="1" customWidth="1" style="2" min="10" max="10"/>
    <col width="3.21875" bestFit="1" customWidth="1" style="2" min="11" max="11"/>
    <col width="35.88671875" bestFit="1" customWidth="1" style="3" min="12" max="12"/>
    <col width="21.21875" bestFit="1" customWidth="1" style="170" min="13" max="13"/>
    <col width="19.6640625" bestFit="1" customWidth="1" style="170" min="14" max="14"/>
    <col width="25.33203125" bestFit="1" customWidth="1" style="170" min="15" max="15"/>
    <col width="22.6640625" bestFit="1" customWidth="1" style="170" min="16" max="16"/>
    <col width="23.44140625" bestFit="1" customWidth="1" style="170" min="17" max="17"/>
    <col width="14.33203125" bestFit="1" customWidth="1" style="170" min="18" max="18"/>
    <col width="17.88671875" bestFit="1" customWidth="1" style="170" min="19" max="19"/>
    <col width="26.109375" bestFit="1" customWidth="1" style="170" min="20" max="20"/>
    <col width="24.109375" bestFit="1" customWidth="1" style="170" min="21" max="21"/>
    <col width="21.6640625" bestFit="1" customWidth="1" style="170" min="22" max="22"/>
    <col width="15.6640625" bestFit="1" customWidth="1" style="170" min="23" max="23"/>
    <col width="10.6640625" bestFit="1" customWidth="1" style="170" min="24" max="24"/>
    <col width="14.109375" bestFit="1" customWidth="1" style="170" min="25" max="25"/>
    <col width="13.109375" bestFit="1" customWidth="1" style="170" min="26" max="26"/>
    <col width="8.88671875" customWidth="1" style="2" min="27" max="16384"/>
  </cols>
  <sheetData>
    <row r="1">
      <c r="A1" s="159" t="n"/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2" ht="17.4" customHeight="1" s="170">
      <c r="A2" s="172" t="inlineStr">
        <is>
          <t>INVENTARIO Y ESTATUS DE VEHICULOS GENERAL MES DE JUNIO</t>
        </is>
      </c>
      <c r="B2" s="173" t="n"/>
      <c r="C2" s="173" t="n"/>
      <c r="D2" s="173" t="n"/>
      <c r="E2" s="173" t="n"/>
      <c r="F2" s="173" t="n"/>
      <c r="G2" s="173" t="n"/>
      <c r="H2" s="173" t="n"/>
      <c r="I2" s="174" t="n"/>
      <c r="J2" s="141" t="n"/>
      <c r="K2" s="173" t="n"/>
    </row>
    <row r="3" ht="15.6" customHeight="1" s="170">
      <c r="A3" s="175" t="inlineStr">
        <is>
          <t>No.</t>
        </is>
      </c>
      <c r="B3" s="175" t="inlineStr">
        <is>
          <t>LOT</t>
        </is>
      </c>
      <c r="C3" s="4" t="inlineStr">
        <is>
          <t>FECHA DE COMPRA</t>
        </is>
      </c>
      <c r="D3" s="4" t="inlineStr">
        <is>
          <t>FECHA DE VENTA</t>
        </is>
      </c>
      <c r="E3" s="144" t="inlineStr">
        <is>
          <t>VEHICULO</t>
        </is>
      </c>
      <c r="F3" s="176" t="n"/>
      <c r="G3" s="177" t="n"/>
      <c r="H3" s="175" t="inlineStr">
        <is>
          <t>ESTATUS</t>
        </is>
      </c>
      <c r="I3" s="175" t="inlineStr">
        <is>
          <t>OBSERVACIONES</t>
        </is>
      </c>
      <c r="J3" s="151" t="inlineStr">
        <is>
          <t>SUMMARY</t>
        </is>
      </c>
      <c r="K3" s="177" t="n"/>
      <c r="L3" s="138" t="inlineStr">
        <is>
          <t>NUEVAS FECHAS DEL PROCESO</t>
        </is>
      </c>
      <c r="R3" s="140" t="inlineStr">
        <is>
          <t>NO TOCAR FORMULAS</t>
        </is>
      </c>
    </row>
    <row r="4" ht="28.8" customHeight="1" s="170">
      <c r="A4" s="178" t="n"/>
      <c r="B4" s="178" t="n"/>
      <c r="C4" s="178" t="n"/>
      <c r="D4" s="178" t="n"/>
      <c r="E4" s="4" t="inlineStr">
        <is>
          <t>MARCA</t>
        </is>
      </c>
      <c r="F4" s="4" t="inlineStr">
        <is>
          <t>MODELO</t>
        </is>
      </c>
      <c r="G4" s="5" t="inlineStr">
        <is>
          <t>AÑO</t>
        </is>
      </c>
      <c r="H4" s="178" t="n"/>
      <c r="I4" s="178" t="n"/>
      <c r="K4" s="179" t="n"/>
      <c r="L4" s="54" t="inlineStr">
        <is>
          <t>FECHA LLEGADA EL SALVADOR</t>
        </is>
      </c>
      <c r="M4" s="164" t="inlineStr">
        <is>
          <t>FECHA INGRESO TALLER</t>
        </is>
      </c>
      <c r="N4" s="164" t="inlineStr">
        <is>
          <t>FECHA SALIDA TALLER</t>
        </is>
      </c>
      <c r="O4" s="164" t="inlineStr">
        <is>
          <t>FECHA INICIO LEGALIZACIÓN</t>
        </is>
      </c>
      <c r="P4" s="164" t="inlineStr">
        <is>
          <t>FECHA FIN LEGALIZACIÓN</t>
        </is>
      </c>
      <c r="Q4" s="164" t="inlineStr">
        <is>
          <t>FECHA DISPONIBLE VENTA</t>
        </is>
      </c>
      <c r="R4" s="164" t="inlineStr">
        <is>
          <t>DÍAS EN TALLER</t>
        </is>
      </c>
      <c r="S4" s="164" t="inlineStr">
        <is>
          <t>DÍAS LEGALIZACIÓN</t>
        </is>
      </c>
      <c r="T4" s="164" t="inlineStr">
        <is>
          <t>DÍAS COMPRA → DISPONIBLE</t>
        </is>
      </c>
      <c r="U4" s="164" t="inlineStr">
        <is>
          <t>DÍAS DISPONIBLE → VENTA</t>
        </is>
      </c>
      <c r="V4" s="164" t="inlineStr">
        <is>
          <t>DÍAS COMPRA → VENTA</t>
        </is>
      </c>
      <c r="W4" s="164" t="inlineStr">
        <is>
          <t>DÍAS SIN VENDER</t>
        </is>
      </c>
      <c r="X4" s="164" t="inlineStr">
        <is>
          <t>SEMÁFORO</t>
        </is>
      </c>
      <c r="Y4" s="164" t="inlineStr">
        <is>
          <t>MES VENTA</t>
        </is>
      </c>
      <c r="Z4" s="164" t="inlineStr">
        <is>
          <t>TIPO COMPRA</t>
        </is>
      </c>
    </row>
    <row r="5" ht="15.6" customHeight="1" s="170">
      <c r="A5" s="98" t="n">
        <v>1</v>
      </c>
      <c r="B5" s="7" t="inlineStr">
        <is>
          <t>SDAD</t>
        </is>
      </c>
      <c r="C5" s="64" t="n">
        <v>46178</v>
      </c>
      <c r="D5" s="65" t="n"/>
      <c r="E5" s="8" t="inlineStr">
        <is>
          <t>HYUNDAI</t>
        </is>
      </c>
      <c r="F5" s="9" t="inlineStr">
        <is>
          <t>ELANTRA</t>
        </is>
      </c>
      <c r="G5" s="109" t="n">
        <v>2025</v>
      </c>
      <c r="H5" s="10" t="inlineStr">
        <is>
          <t>Disponible</t>
        </is>
      </c>
      <c r="I5" s="31" t="inlineStr"/>
      <c r="J5" s="88" t="inlineStr">
        <is>
          <t>Disponible</t>
        </is>
      </c>
      <c r="K5" s="120" t="n"/>
      <c r="L5" s="56" t="n">
        <v>46167</v>
      </c>
      <c r="M5" s="166" t="n"/>
      <c r="N5" s="166" t="n"/>
      <c r="O5" s="166" t="n"/>
      <c r="P5" s="166" t="n"/>
      <c r="Q5" s="166" t="n">
        <v>46172</v>
      </c>
      <c r="R5" s="168">
        <f>IF(AND(M5&lt;&gt;"",N5&lt;&gt;""),N5-M5,"")</f>
        <v/>
      </c>
      <c r="S5" s="168">
        <f>IF(AND(O5&lt;&gt;"",P5&lt;&gt;""),P5-O5,"")</f>
        <v/>
      </c>
      <c r="T5" s="168">
        <f>IF(AND(C5&lt;&gt;"",Q5&lt;&gt;""),Q5-C5,"")</f>
        <v/>
      </c>
      <c r="U5" s="168">
        <f>IF(AND(Q5&lt;&gt;"",D5&lt;&gt;""),D5-Q5,"")</f>
        <v/>
      </c>
      <c r="V5" s="168">
        <f>IF(AND(C5&lt;&gt;"",D5&lt;&gt;""),D5-C5,"")</f>
        <v/>
      </c>
      <c r="W5" s="168">
        <f>IF(D5="",TODAY()-C5,"")</f>
        <v/>
      </c>
      <c r="X5" s="84" t="inlineStr">
        <is>
          <t>OK</t>
        </is>
      </c>
      <c r="Y5" t="inlineStr"/>
      <c r="Z5" t="inlineStr">
        <is>
          <t>LOTE</t>
        </is>
      </c>
    </row>
    <row r="6" ht="15.6" customHeight="1" s="170">
      <c r="A6" s="98" t="n">
        <v>2</v>
      </c>
      <c r="B6" s="7" t="inlineStr">
        <is>
          <t>1815616</t>
        </is>
      </c>
      <c r="C6" s="64" t="n">
        <v>46174</v>
      </c>
      <c r="D6" s="65" t="n"/>
      <c r="E6" s="8" t="inlineStr">
        <is>
          <t>TOYOTA</t>
        </is>
      </c>
      <c r="F6" s="9" t="inlineStr">
        <is>
          <t>MATRIX</t>
        </is>
      </c>
      <c r="G6" s="109" t="n">
        <v>2010</v>
      </c>
      <c r="H6" s="10" t="inlineStr">
        <is>
          <t>Disponible</t>
        </is>
      </c>
      <c r="I6" s="31" t="inlineStr"/>
      <c r="J6" s="88" t="inlineStr">
        <is>
          <t>Disponible</t>
        </is>
      </c>
      <c r="K6" s="120" t="n"/>
      <c r="L6" s="56" t="n">
        <v>46179</v>
      </c>
      <c r="M6" s="166" t="n"/>
      <c r="N6" s="166" t="n"/>
      <c r="O6" s="166" t="n"/>
      <c r="P6" s="166" t="n"/>
      <c r="Q6" s="166" t="n">
        <v>46179</v>
      </c>
      <c r="R6" s="168">
        <f>IF(AND(M6&lt;&gt;"",N6&lt;&gt;""),N6-M6,"")</f>
        <v/>
      </c>
      <c r="S6" s="168">
        <f>IF(AND(O6&lt;&gt;"",P6&lt;&gt;""),P6-O6,"")</f>
        <v/>
      </c>
      <c r="T6" s="168">
        <f>IF(AND(C6&lt;&gt;"",Q6&lt;&gt;""),Q6-C6,"")</f>
        <v/>
      </c>
      <c r="U6" s="168">
        <f>IF(AND(Q6&lt;&gt;"",D6&lt;&gt;""),D6-Q6,"")</f>
        <v/>
      </c>
      <c r="V6" s="168">
        <f>IF(AND(C6&lt;&gt;"",D6&lt;&gt;""),D6-C6,"")</f>
        <v/>
      </c>
      <c r="W6" s="168">
        <f>IF(D6="",TODAY()-C6,"")</f>
        <v/>
      </c>
      <c r="X6" s="84" t="inlineStr">
        <is>
          <t>OK</t>
        </is>
      </c>
      <c r="Y6" t="inlineStr"/>
      <c r="Z6" t="inlineStr">
        <is>
          <t>LOTE</t>
        </is>
      </c>
    </row>
    <row r="7" ht="15.6" customHeight="1" s="170">
      <c r="A7" s="98" t="n">
        <v>3</v>
      </c>
      <c r="B7" s="7" t="inlineStr">
        <is>
          <t>189165</t>
        </is>
      </c>
      <c r="C7" s="64" t="n">
        <v>46144</v>
      </c>
      <c r="D7" s="65" t="n"/>
      <c r="E7" s="8" t="inlineStr">
        <is>
          <t>FORD</t>
        </is>
      </c>
      <c r="F7" s="9" t="inlineStr">
        <is>
          <t>ESCAPE</t>
        </is>
      </c>
      <c r="G7" s="109" t="n">
        <v>2015</v>
      </c>
      <c r="H7" s="10" t="inlineStr">
        <is>
          <t>VENDIDO</t>
        </is>
      </c>
      <c r="I7" s="31" t="inlineStr">
        <is>
          <t>maria lopez</t>
        </is>
      </c>
      <c r="J7" s="88" t="inlineStr">
        <is>
          <t>Disponible</t>
        </is>
      </c>
      <c r="K7" s="120" t="n"/>
      <c r="L7" s="56" t="n">
        <v>46176</v>
      </c>
      <c r="M7" s="166" t="n"/>
      <c r="N7" s="166" t="n"/>
      <c r="O7" s="166" t="n"/>
      <c r="P7" s="166" t="n"/>
      <c r="Q7" s="166" t="n">
        <v>46179</v>
      </c>
      <c r="R7" s="168">
        <f>IF(AND(M7&lt;&gt;"",N7&lt;&gt;""),N7-M7,"")</f>
        <v/>
      </c>
      <c r="S7" s="168">
        <f>IF(AND(O7&lt;&gt;"",P7&lt;&gt;""),P7-O7,"")</f>
        <v/>
      </c>
      <c r="T7" s="168">
        <f>IF(AND(C7&lt;&gt;"",Q7&lt;&gt;""),Q7-C7,"")</f>
        <v/>
      </c>
      <c r="U7" s="168">
        <f>IF(AND(Q7&lt;&gt;"",D7&lt;&gt;""),D7-Q7,"")</f>
        <v/>
      </c>
      <c r="V7" s="168">
        <f>IF(AND(C7&lt;&gt;"",D7&lt;&gt;""),D7-C7,"")</f>
        <v/>
      </c>
      <c r="W7" s="168">
        <f>IF(D7="",TODAY()-C7,"")</f>
        <v/>
      </c>
      <c r="X7" s="84" t="inlineStr">
        <is>
          <t>OK</t>
        </is>
      </c>
      <c r="Y7" t="inlineStr"/>
      <c r="Z7" t="inlineStr">
        <is>
          <t>LOTE</t>
        </is>
      </c>
    </row>
    <row r="8" ht="15.6" customHeight="1" s="170">
      <c r="A8" s="98" t="n">
        <v>4</v>
      </c>
      <c r="B8" s="7" t="inlineStr">
        <is>
          <t>2859198</t>
        </is>
      </c>
      <c r="C8" s="64" t="n">
        <v>46167</v>
      </c>
      <c r="D8" s="65" t="n"/>
      <c r="E8" s="8" t="inlineStr">
        <is>
          <t>HONDA</t>
        </is>
      </c>
      <c r="F8" s="9" t="inlineStr">
        <is>
          <t>CIVIC</t>
        </is>
      </c>
      <c r="G8" s="109" t="n">
        <v>2018</v>
      </c>
      <c r="H8" s="10" t="inlineStr">
        <is>
          <t>Aduana</t>
        </is>
      </c>
      <c r="I8" s="31" t="inlineStr"/>
      <c r="J8" s="88" t="inlineStr">
        <is>
          <t>Aduana</t>
        </is>
      </c>
      <c r="K8" s="120" t="n"/>
      <c r="L8" s="56" t="n">
        <v>46179</v>
      </c>
      <c r="M8" s="166" t="n"/>
      <c r="N8" s="166" t="n"/>
      <c r="O8" s="166" t="n"/>
      <c r="P8" s="166" t="n"/>
      <c r="Q8" s="166" t="n"/>
      <c r="R8" s="168">
        <f>IF(AND(M8&lt;&gt;"",N8&lt;&gt;""),N8-M8,"")</f>
        <v/>
      </c>
      <c r="S8" s="168">
        <f>IF(AND(O8&lt;&gt;"",P8&lt;&gt;""),P8-O8,"")</f>
        <v/>
      </c>
      <c r="T8" s="168">
        <f>IF(AND(C8&lt;&gt;"",Q8&lt;&gt;""),Q8-C8,"")</f>
        <v/>
      </c>
      <c r="U8" s="168">
        <f>IF(AND(Q8&lt;&gt;"",D8&lt;&gt;""),D8-Q8,"")</f>
        <v/>
      </c>
      <c r="V8" s="168">
        <f>IF(AND(C8&lt;&gt;"",D8&lt;&gt;""),D8-C8,"")</f>
        <v/>
      </c>
      <c r="W8" s="168">
        <f>IF(D8="",TODAY()-C8,"")</f>
        <v/>
      </c>
      <c r="X8" s="84" t="inlineStr">
        <is>
          <t>OK</t>
        </is>
      </c>
      <c r="Y8" t="inlineStr"/>
      <c r="Z8" t="inlineStr">
        <is>
          <t>LOTE</t>
        </is>
      </c>
    </row>
    <row r="9" ht="15.6" customFormat="1" customHeight="1" s="3">
      <c r="A9" s="98" t="n">
        <v>5</v>
      </c>
      <c r="B9" s="7" t="inlineStr">
        <is>
          <t>LT1951</t>
        </is>
      </c>
      <c r="C9" s="64" t="n">
        <v>46146</v>
      </c>
      <c r="D9" s="65" t="n"/>
      <c r="E9" s="8" t="inlineStr">
        <is>
          <t>HYUNDAI</t>
        </is>
      </c>
      <c r="F9" s="9" t="inlineStr">
        <is>
          <t>SANTA FE</t>
        </is>
      </c>
      <c r="G9" s="109" t="n">
        <v>2019</v>
      </c>
      <c r="H9" s="10" t="inlineStr">
        <is>
          <t>Comprado</t>
        </is>
      </c>
      <c r="I9" s="31" t="inlineStr"/>
      <c r="J9" s="88" t="inlineStr">
        <is>
          <t>Comprado</t>
        </is>
      </c>
      <c r="K9" s="120" t="n"/>
      <c r="L9" s="56" t="n"/>
      <c r="M9" s="166" t="n"/>
      <c r="N9" s="166" t="n"/>
      <c r="O9" s="166" t="n"/>
      <c r="P9" s="166" t="n"/>
      <c r="Q9" s="166" t="n"/>
      <c r="R9" s="168">
        <f>IF(AND(M9&lt;&gt;"",N9&lt;&gt;""),N9-M9,"")</f>
        <v/>
      </c>
      <c r="S9" s="168">
        <f>IF(AND(O9&lt;&gt;"",P9&lt;&gt;""),P9-O9,"")</f>
        <v/>
      </c>
      <c r="T9" s="168">
        <f>IF(AND(C9&lt;&gt;"",Q9&lt;&gt;""),Q9-C9,"")</f>
        <v/>
      </c>
      <c r="U9" s="168">
        <f>IF(AND(Q9&lt;&gt;"",D9&lt;&gt;""),D9-Q9,"")</f>
        <v/>
      </c>
      <c r="V9" s="168">
        <f>IF(AND(C9&lt;&gt;"",D9&lt;&gt;""),D9-C9,"")</f>
        <v/>
      </c>
      <c r="W9" s="168">
        <f>IF(D9="",TODAY()-C9,"")</f>
        <v/>
      </c>
      <c r="X9" s="84" t="inlineStr">
        <is>
          <t>OK</t>
        </is>
      </c>
      <c r="Y9" t="inlineStr"/>
      <c r="Z9" t="inlineStr">
        <is>
          <t>LOTE</t>
        </is>
      </c>
    </row>
    <row r="10" ht="15.6" customFormat="1" customHeight="1" s="17">
      <c r="A10" s="98" t="n">
        <v>6</v>
      </c>
      <c r="B10" s="7" t="inlineStr">
        <is>
          <t>LOTE 51</t>
        </is>
      </c>
      <c r="C10" s="64" t="n">
        <v>46143</v>
      </c>
      <c r="D10" s="65" t="n"/>
      <c r="E10" s="8" t="inlineStr">
        <is>
          <t>HONDA</t>
        </is>
      </c>
      <c r="F10" s="9" t="inlineStr">
        <is>
          <t>CIVIC</t>
        </is>
      </c>
      <c r="G10" s="109" t="n">
        <v>2019</v>
      </c>
      <c r="H10" s="10" t="inlineStr">
        <is>
          <t>VENDIDO</t>
        </is>
      </c>
      <c r="I10" s="31" t="inlineStr">
        <is>
          <t>LUPITA</t>
        </is>
      </c>
      <c r="J10" s="88" t="inlineStr">
        <is>
          <t>Disponible</t>
        </is>
      </c>
      <c r="K10" s="120" t="n"/>
      <c r="L10" s="56" t="n">
        <v>46157</v>
      </c>
      <c r="M10" s="166" t="n"/>
      <c r="N10" s="166" t="n"/>
      <c r="O10" s="166" t="n"/>
      <c r="P10" s="166" t="n"/>
      <c r="Q10" s="166" t="n">
        <v>46169</v>
      </c>
      <c r="R10" s="168">
        <f>IF(AND(M10&lt;&gt;"",N10&lt;&gt;""),N10-M10,"")</f>
        <v/>
      </c>
      <c r="S10" s="168">
        <f>IF(AND(O10&lt;&gt;"",P10&lt;&gt;""),P10-O10,"")</f>
        <v/>
      </c>
      <c r="T10" s="168">
        <f>IF(AND(C10&lt;&gt;"",Q10&lt;&gt;""),Q10-C10,"")</f>
        <v/>
      </c>
      <c r="U10" s="168">
        <f>IF(AND(Q10&lt;&gt;"",D10&lt;&gt;""),D10-Q10,"")</f>
        <v/>
      </c>
      <c r="V10" s="168">
        <f>IF(AND(C10&lt;&gt;"",D10&lt;&gt;""),D10-C10,"")</f>
        <v/>
      </c>
      <c r="W10" s="168">
        <f>IF(D10="",TODAY()-C10,"")</f>
        <v/>
      </c>
      <c r="X10" s="84" t="inlineStr">
        <is>
          <t>OK</t>
        </is>
      </c>
      <c r="Y10" t="inlineStr"/>
      <c r="Z10" t="inlineStr">
        <is>
          <t>LOTE</t>
        </is>
      </c>
    </row>
    <row r="11" ht="15.6" customHeight="1" s="170">
      <c r="A11" s="98" t="n">
        <v>7</v>
      </c>
      <c r="B11" s="7" t="inlineStr">
        <is>
          <t>LOTE 5</t>
        </is>
      </c>
      <c r="C11" s="64" t="n">
        <v>46153</v>
      </c>
      <c r="D11" s="65" t="n"/>
      <c r="E11" s="8" t="inlineStr">
        <is>
          <t>FORD</t>
        </is>
      </c>
      <c r="F11" s="9" t="inlineStr">
        <is>
          <t>ESCAPE</t>
        </is>
      </c>
      <c r="G11" s="109" t="n">
        <v>2017</v>
      </c>
      <c r="H11" s="10" t="inlineStr">
        <is>
          <t>VENDIDO</t>
        </is>
      </c>
      <c r="I11" s="31" t="inlineStr">
        <is>
          <t>MARIA</t>
        </is>
      </c>
      <c r="J11" s="88" t="inlineStr">
        <is>
          <t>Disponible</t>
        </is>
      </c>
      <c r="K11" s="120" t="n"/>
      <c r="L11" s="56" t="n">
        <v>46182</v>
      </c>
      <c r="M11" s="166" t="n"/>
      <c r="N11" s="166" t="n"/>
      <c r="O11" s="166" t="n"/>
      <c r="P11" s="166" t="n"/>
      <c r="Q11" s="166" t="n">
        <v>46182</v>
      </c>
      <c r="R11" s="168">
        <f>IF(AND(M11&lt;&gt;"",N11&lt;&gt;""),N11-M11,"")</f>
        <v/>
      </c>
      <c r="S11" s="168">
        <f>IF(AND(O11&lt;&gt;"",P11&lt;&gt;""),P11-O11,"")</f>
        <v/>
      </c>
      <c r="T11" s="168">
        <f>IF(AND(C11&lt;&gt;"",Q11&lt;&gt;""),Q11-C11,"")</f>
        <v/>
      </c>
      <c r="U11" s="168">
        <f>IF(AND(Q11&lt;&gt;"",D11&lt;&gt;""),D11-Q11,"")</f>
        <v/>
      </c>
      <c r="V11" s="168">
        <f>IF(AND(C11&lt;&gt;"",D11&lt;&gt;""),D11-C11,"")</f>
        <v/>
      </c>
      <c r="W11" s="168">
        <f>IF(D11="",TODAY()-C11,"")</f>
        <v/>
      </c>
      <c r="X11" s="84" t="inlineStr">
        <is>
          <t>OK</t>
        </is>
      </c>
      <c r="Y11" t="inlineStr"/>
      <c r="Z11" t="inlineStr">
        <is>
          <t>LOTE</t>
        </is>
      </c>
    </row>
    <row r="12" ht="15.6" customHeight="1" s="170">
      <c r="A12" s="98" t="n">
        <v>8</v>
      </c>
      <c r="B12" s="7" t="inlineStr">
        <is>
          <t>69991855</t>
        </is>
      </c>
      <c r="C12" s="64" t="n">
        <v>46162</v>
      </c>
      <c r="D12" s="65" t="n"/>
      <c r="E12" s="8" t="inlineStr">
        <is>
          <t>HONDA</t>
        </is>
      </c>
      <c r="F12" s="9" t="inlineStr">
        <is>
          <t>CIVIC</t>
        </is>
      </c>
      <c r="G12" s="109" t="n">
        <v>2017</v>
      </c>
      <c r="H12" s="10" t="inlineStr">
        <is>
          <t>Disponible</t>
        </is>
      </c>
      <c r="I12" s="31" t="inlineStr"/>
      <c r="J12" s="88" t="inlineStr">
        <is>
          <t>Disponible</t>
        </is>
      </c>
      <c r="K12" s="120" t="n"/>
      <c r="L12" s="56" t="n">
        <v>46182</v>
      </c>
      <c r="M12" s="166" t="n"/>
      <c r="N12" s="166" t="n"/>
      <c r="O12" s="166" t="n"/>
      <c r="P12" s="166" t="n"/>
      <c r="Q12" s="166" t="n">
        <v>46182</v>
      </c>
      <c r="R12" s="168">
        <f>IF(AND(M12&lt;&gt;"",N12&lt;&gt;""),N12-M12,"")</f>
        <v/>
      </c>
      <c r="S12" s="168">
        <f>IF(AND(O12&lt;&gt;"",P12&lt;&gt;""),P12-O12,"")</f>
        <v/>
      </c>
      <c r="T12" s="168">
        <f>IF(AND(C12&lt;&gt;"",Q12&lt;&gt;""),Q12-C12,"")</f>
        <v/>
      </c>
      <c r="U12" s="168">
        <f>IF(AND(Q12&lt;&gt;"",D12&lt;&gt;""),D12-Q12,"")</f>
        <v/>
      </c>
      <c r="V12" s="168">
        <f>IF(AND(C12&lt;&gt;"",D12&lt;&gt;""),D12-C12,"")</f>
        <v/>
      </c>
      <c r="W12" s="168">
        <f>IF(D12="",TODAY()-C12,"")</f>
        <v/>
      </c>
      <c r="X12" s="84" t="inlineStr">
        <is>
          <t>OK</t>
        </is>
      </c>
      <c r="Y12" t="inlineStr"/>
      <c r="Z12" t="inlineStr">
        <is>
          <t>LOTE</t>
        </is>
      </c>
    </row>
    <row r="13" ht="15.6" customHeight="1" s="170">
      <c r="A13" s="98" t="n">
        <v>9</v>
      </c>
      <c r="B13" s="7" t="inlineStr">
        <is>
          <t>818919148</t>
        </is>
      </c>
      <c r="C13" s="64" t="n">
        <v>46143</v>
      </c>
      <c r="D13" s="65" t="n"/>
      <c r="E13" s="8" t="inlineStr">
        <is>
          <t>HYUNDAI</t>
        </is>
      </c>
      <c r="F13" s="9" t="inlineStr">
        <is>
          <t>ELANTRA</t>
        </is>
      </c>
      <c r="G13" s="109" t="n">
        <v>2019</v>
      </c>
      <c r="H13" s="10" t="inlineStr">
        <is>
          <t>Disponible</t>
        </is>
      </c>
      <c r="I13" s="31" t="inlineStr"/>
      <c r="J13" s="88" t="inlineStr">
        <is>
          <t>Disponible</t>
        </is>
      </c>
      <c r="K13" s="120" t="n"/>
      <c r="L13" s="56" t="n">
        <v>46162</v>
      </c>
      <c r="M13" s="166" t="n">
        <v>46170</v>
      </c>
      <c r="N13" s="166" t="n">
        <v>46178</v>
      </c>
      <c r="O13" s="166" t="n">
        <v>46170</v>
      </c>
      <c r="P13" s="166" t="n">
        <v>46178</v>
      </c>
      <c r="Q13" s="166" t="n">
        <v>46181</v>
      </c>
      <c r="R13" s="168">
        <f>IF(AND(M13&lt;&gt;"",N13&lt;&gt;""),N13-M13,"")</f>
        <v/>
      </c>
      <c r="S13" s="168">
        <f>IF(AND(O13&lt;&gt;"",P13&lt;&gt;""),P13-O13,"")</f>
        <v/>
      </c>
      <c r="T13" s="168">
        <f>IF(AND(C13&lt;&gt;"",Q13&lt;&gt;""),Q13-C13,"")</f>
        <v/>
      </c>
      <c r="U13" s="168">
        <f>IF(AND(Q13&lt;&gt;"",D13&lt;&gt;""),D13-Q13,"")</f>
        <v/>
      </c>
      <c r="V13" s="168">
        <f>IF(AND(C13&lt;&gt;"",D13&lt;&gt;""),D13-C13,"")</f>
        <v/>
      </c>
      <c r="W13" s="168">
        <f>IF(D13="",TODAY()-C13,"")</f>
        <v/>
      </c>
      <c r="X13" s="84" t="inlineStr">
        <is>
          <t>OK</t>
        </is>
      </c>
      <c r="Y13" t="inlineStr"/>
      <c r="Z13" t="inlineStr">
        <is>
          <t>LOTE</t>
        </is>
      </c>
    </row>
    <row r="14" ht="15.6" customHeight="1" s="170">
      <c r="A14" s="98" t="n">
        <v>10</v>
      </c>
      <c r="B14" s="7" t="inlineStr">
        <is>
          <t>8585</t>
        </is>
      </c>
      <c r="C14" s="64" t="n">
        <v>46139</v>
      </c>
      <c r="D14" s="65" t="n"/>
      <c r="E14" s="8" t="inlineStr">
        <is>
          <t>HONDA</t>
        </is>
      </c>
      <c r="F14" s="9" t="inlineStr">
        <is>
          <t>CRV</t>
        </is>
      </c>
      <c r="G14" s="109" t="n">
        <v>2020</v>
      </c>
      <c r="H14" s="10" t="inlineStr">
        <is>
          <t>Disponible</t>
        </is>
      </c>
      <c r="I14" s="31" t="inlineStr"/>
      <c r="J14" s="88" t="inlineStr">
        <is>
          <t>Disponible</t>
        </is>
      </c>
      <c r="K14" s="120" t="n"/>
      <c r="L14" s="56" t="n">
        <v>46154</v>
      </c>
      <c r="M14" s="166" t="n">
        <v>46161</v>
      </c>
      <c r="N14" s="166" t="n">
        <v>46173</v>
      </c>
      <c r="O14" s="166" t="n">
        <v>46161</v>
      </c>
      <c r="P14" s="166" t="n">
        <v>46173</v>
      </c>
      <c r="Q14" s="166" t="n">
        <v>46183</v>
      </c>
      <c r="R14" s="168">
        <f>IF(AND(M14&lt;&gt;"",N14&lt;&gt;""),N14-M14,"")</f>
        <v/>
      </c>
      <c r="S14" s="168">
        <f>IF(AND(O14&lt;&gt;"",P14&lt;&gt;""),P14-O14,"")</f>
        <v/>
      </c>
      <c r="T14" s="168">
        <f>IF(AND(C14&lt;&gt;"",Q14&lt;&gt;""),Q14-C14,"")</f>
        <v/>
      </c>
      <c r="U14" s="168">
        <f>IF(AND(Q14&lt;&gt;"",D14&lt;&gt;""),D14-Q14,"")</f>
        <v/>
      </c>
      <c r="V14" s="168">
        <f>IF(AND(C14&lt;&gt;"",D14&lt;&gt;""),D14-C14,"")</f>
        <v/>
      </c>
      <c r="W14" s="168">
        <f>IF(D14="",TODAY()-C14,"")</f>
        <v/>
      </c>
      <c r="X14" s="84" t="inlineStr">
        <is>
          <t>OK</t>
        </is>
      </c>
      <c r="Y14" t="inlineStr"/>
      <c r="Z14" t="inlineStr">
        <is>
          <t>LOTE</t>
        </is>
      </c>
    </row>
    <row r="15" ht="15.6" customHeight="1" s="170">
      <c r="A15" s="98" t="n">
        <v>11</v>
      </c>
      <c r="B15" s="7" t="inlineStr">
        <is>
          <t>8080</t>
        </is>
      </c>
      <c r="C15" s="64" t="n">
        <v>46146</v>
      </c>
      <c r="D15" s="65" t="n"/>
      <c r="E15" s="8" t="inlineStr">
        <is>
          <t>HYUNDAI</t>
        </is>
      </c>
      <c r="F15" s="9" t="inlineStr">
        <is>
          <t>ELANTRA</t>
        </is>
      </c>
      <c r="G15" s="109" t="n">
        <v>2020</v>
      </c>
      <c r="H15" s="10" t="inlineStr">
        <is>
          <t>Disponible</t>
        </is>
      </c>
      <c r="I15" s="31" t="inlineStr"/>
      <c r="J15" s="88" t="inlineStr">
        <is>
          <t>Disponible</t>
        </is>
      </c>
      <c r="K15" s="120" t="n"/>
      <c r="L15" s="56" t="n">
        <v>46157</v>
      </c>
      <c r="M15" s="166" t="n">
        <v>46162</v>
      </c>
      <c r="N15" s="166" t="n">
        <v>46178</v>
      </c>
      <c r="O15" s="166" t="n">
        <v>46162</v>
      </c>
      <c r="P15" s="166" t="n">
        <v>46178</v>
      </c>
      <c r="Q15" s="166" t="n">
        <v>46178</v>
      </c>
      <c r="R15" s="168">
        <f>IF(AND(M15&lt;&gt;"",N15&lt;&gt;""),N15-M15,"")</f>
        <v/>
      </c>
      <c r="S15" s="168">
        <f>IF(AND(O15&lt;&gt;"",P15&lt;&gt;""),P15-O15,"")</f>
        <v/>
      </c>
      <c r="T15" s="168">
        <f>IF(AND(C15&lt;&gt;"",Q15&lt;&gt;""),Q15-C15,"")</f>
        <v/>
      </c>
      <c r="U15" s="168">
        <f>IF(AND(Q15&lt;&gt;"",D15&lt;&gt;""),D15-Q15,"")</f>
        <v/>
      </c>
      <c r="V15" s="168">
        <f>IF(AND(C15&lt;&gt;"",D15&lt;&gt;""),D15-C15,"")</f>
        <v/>
      </c>
      <c r="W15" s="168">
        <f>IF(D15="",TODAY()-C15,"")</f>
        <v/>
      </c>
      <c r="X15" s="84" t="inlineStr">
        <is>
          <t>OK</t>
        </is>
      </c>
      <c r="Y15" t="inlineStr"/>
      <c r="Z15" t="inlineStr">
        <is>
          <t>LOTE</t>
        </is>
      </c>
    </row>
    <row r="16" ht="15.6" customHeight="1" s="170">
      <c r="A16" s="98" t="n"/>
      <c r="B16" s="7" t="n"/>
      <c r="C16" s="64" t="n"/>
      <c r="D16" s="65" t="n"/>
      <c r="E16" s="8" t="n"/>
      <c r="F16" s="9" t="n"/>
      <c r="G16" s="109" t="n"/>
      <c r="H16" s="10" t="n"/>
      <c r="I16" s="31" t="n"/>
      <c r="J16" s="88" t="n"/>
      <c r="K16" s="120" t="n"/>
      <c r="L16" s="56" t="n"/>
      <c r="M16" s="166" t="n"/>
      <c r="N16" s="166" t="n"/>
      <c r="O16" s="166" t="n"/>
      <c r="P16" s="166" t="n"/>
      <c r="Q16" s="166" t="n"/>
      <c r="R16" s="168" t="n"/>
      <c r="S16" s="168" t="n"/>
      <c r="T16" s="168" t="n"/>
      <c r="U16" s="168" t="n"/>
      <c r="V16" s="168" t="n"/>
      <c r="W16" s="168" t="n"/>
      <c r="X16" s="84" t="n"/>
    </row>
    <row r="17" ht="15.6" customHeight="1" s="170">
      <c r="A17" s="98" t="n"/>
      <c r="B17" s="7" t="n"/>
      <c r="C17" s="64" t="n"/>
      <c r="D17" s="65" t="n"/>
      <c r="E17" s="8" t="n"/>
      <c r="F17" s="9" t="n"/>
      <c r="G17" s="109" t="n"/>
      <c r="H17" s="10" t="n"/>
      <c r="I17" s="31" t="n"/>
      <c r="J17" s="88" t="n"/>
      <c r="K17" s="120" t="n"/>
      <c r="L17" s="56" t="n"/>
      <c r="M17" s="166" t="n"/>
      <c r="N17" s="166" t="n"/>
      <c r="O17" s="166" t="n"/>
      <c r="P17" s="166" t="n"/>
      <c r="Q17" s="166" t="n"/>
      <c r="R17" s="168" t="n"/>
      <c r="S17" s="168" t="n"/>
      <c r="T17" s="168" t="n"/>
      <c r="U17" s="168" t="n"/>
      <c r="V17" s="168" t="n"/>
      <c r="W17" s="168" t="n"/>
      <c r="X17" s="84" t="n"/>
    </row>
    <row r="18" ht="15.6" customHeight="1" s="170">
      <c r="A18" s="98" t="n"/>
      <c r="B18" s="7" t="n"/>
      <c r="C18" s="64" t="n"/>
      <c r="D18" s="65" t="n"/>
      <c r="E18" s="8" t="n"/>
      <c r="F18" s="9" t="n"/>
      <c r="G18" s="109" t="n"/>
      <c r="H18" s="10" t="n"/>
      <c r="I18" s="31" t="n"/>
      <c r="J18" s="88" t="n"/>
      <c r="K18" s="120" t="n"/>
      <c r="L18" s="56" t="n"/>
      <c r="M18" s="166" t="n"/>
      <c r="N18" s="166" t="n"/>
      <c r="O18" s="166" t="n"/>
      <c r="P18" s="166" t="n"/>
      <c r="Q18" s="166" t="n"/>
      <c r="R18" s="168" t="n"/>
      <c r="S18" s="168" t="n"/>
      <c r="T18" s="168" t="n"/>
      <c r="U18" s="168" t="n"/>
      <c r="V18" s="168" t="n"/>
      <c r="W18" s="168" t="n"/>
      <c r="X18" s="84" t="n"/>
    </row>
    <row r="19" ht="15.6" customHeight="1" s="170">
      <c r="A19" s="100" t="n">
        <v>15</v>
      </c>
      <c r="B19" s="15" t="n">
        <v>81210935</v>
      </c>
      <c r="C19" s="68" t="n">
        <v>45980</v>
      </c>
      <c r="D19" s="69" t="n">
        <v>46142</v>
      </c>
      <c r="E19" s="12" t="inlineStr">
        <is>
          <t>MITSUBISHI</t>
        </is>
      </c>
      <c r="F19" s="13" t="inlineStr">
        <is>
          <t>MIRAGE ES</t>
        </is>
      </c>
      <c r="G19" s="115" t="n">
        <v>2022</v>
      </c>
      <c r="H19" s="10" t="inlineStr">
        <is>
          <t>VENDIDO</t>
        </is>
      </c>
      <c r="I19" s="40" t="inlineStr">
        <is>
          <t>CARLOS ELIAS ALAS GUZMAN</t>
        </is>
      </c>
      <c r="J19" s="6" t="n"/>
      <c r="K19" s="6" t="n"/>
      <c r="L19" s="56" t="n"/>
      <c r="M19" s="166" t="n"/>
      <c r="N19" s="166" t="n"/>
      <c r="O19" s="166" t="n"/>
      <c r="P19" s="166" t="n"/>
      <c r="Q19" s="166" t="n"/>
      <c r="R19" s="168" t="n"/>
      <c r="S19" s="168" t="n"/>
      <c r="T19" s="168">
        <f>IF(Q19="","",Q19-C19)</f>
        <v/>
      </c>
      <c r="U19" s="168">
        <f>IF(OR(Q19="",D19=""),"",IF(D19&lt;Q19,"REVISAR FECHA",D19-Q19))</f>
        <v/>
      </c>
      <c r="V19" s="168">
        <f>IF(D19="","",IF(D19&lt;C19,"REVISAR FECHA",D19-C19))</f>
        <v/>
      </c>
      <c r="W19" s="168" t="n"/>
      <c r="X19" s="84">
        <f>IF(H19="VENDIDO","CERRADO",IF(W19="","",IF(W19&gt;120,"CRÍTICO",IF(W19&gt;90,"ALERTA",IF(W19&gt;60,"REVISAR","NORMAL")))))</f>
        <v/>
      </c>
      <c r="Y19">
        <f>IF(D19="","",TEXT(D19,"mmmm yyyy"))</f>
        <v/>
      </c>
      <c r="Z19">
        <f>IF(B19="LOCAL","LOCAL","LOTE")</f>
        <v/>
      </c>
    </row>
    <row r="20" ht="15.6" customHeight="1" s="170">
      <c r="A20" s="105" t="n">
        <v>16</v>
      </c>
      <c r="B20" s="21" t="n">
        <v>91402285</v>
      </c>
      <c r="C20" s="76" t="n">
        <v>45992</v>
      </c>
      <c r="D20" s="72" t="n"/>
      <c r="E20" s="12" t="inlineStr">
        <is>
          <t>NISSAN</t>
        </is>
      </c>
      <c r="F20" s="13" t="inlineStr">
        <is>
          <t>KICKS S</t>
        </is>
      </c>
      <c r="G20" s="116" t="n">
        <v>2020</v>
      </c>
      <c r="H20" s="91" t="inlineStr">
        <is>
          <t>SERVICIO DE IMPORTACION</t>
        </is>
      </c>
      <c r="I20" s="41" t="inlineStr">
        <is>
          <t>ENTREGADO</t>
        </is>
      </c>
      <c r="J20" s="50" t="n"/>
      <c r="K20" s="50" t="n"/>
      <c r="L20" s="56" t="n"/>
      <c r="M20" s="166" t="n"/>
      <c r="N20" s="166" t="n"/>
      <c r="O20" s="166" t="n"/>
      <c r="P20" s="166" t="n"/>
      <c r="Q20" s="166" t="n"/>
      <c r="R20" s="168" t="n"/>
      <c r="S20" s="168" t="n"/>
      <c r="T20" s="168">
        <f>IF(Q20="","",Q20-C20)</f>
        <v/>
      </c>
      <c r="U20" s="168">
        <f>IF(OR(Q20="",D20=""),"",IF(D20&lt;Q20,"REVISAR FECHA",D20-Q20))</f>
        <v/>
      </c>
      <c r="V20" s="168">
        <f>IF(D20="","",IF(D20&lt;C20,"REVISAR FECHA",D20-C20))</f>
        <v/>
      </c>
      <c r="W20" s="168" t="n">
        <v>194</v>
      </c>
      <c r="X20" s="84">
        <f>IF(H20="VENDIDO","CERRADO",IF(W20="","",IF(W20&gt;120,"CRÍTICO",IF(W20&gt;90,"ALERTA",IF(W20&gt;60,"REVISAR","NORMAL")))))</f>
        <v/>
      </c>
      <c r="Y20">
        <f>IF(D20="","",TEXT(D20,"mmmm yyyy"))</f>
        <v/>
      </c>
      <c r="Z20">
        <f>IF(B20="LOCAL","LOCAL","LOTE")</f>
        <v/>
      </c>
    </row>
    <row r="21" ht="15.6" customHeight="1" s="170">
      <c r="A21" s="104" t="n">
        <v>17</v>
      </c>
      <c r="B21" s="20" t="n">
        <v>82400495</v>
      </c>
      <c r="C21" s="75" t="n">
        <v>45992</v>
      </c>
      <c r="D21" s="65" t="n">
        <v>46112</v>
      </c>
      <c r="E21" s="12" t="inlineStr">
        <is>
          <t>KIA</t>
        </is>
      </c>
      <c r="F21" s="13" t="inlineStr">
        <is>
          <t>SOUL LX SILVER</t>
        </is>
      </c>
      <c r="G21" s="109" t="n">
        <v>2021</v>
      </c>
      <c r="H21" s="10" t="inlineStr">
        <is>
          <t>VENDIDO</t>
        </is>
      </c>
      <c r="I21" s="39" t="inlineStr">
        <is>
          <t>ALEX QUINTERO</t>
        </is>
      </c>
      <c r="J21" s="6" t="n"/>
      <c r="K21" s="6" t="n"/>
      <c r="L21" s="56" t="n"/>
      <c r="M21" s="166" t="n"/>
      <c r="N21" s="166" t="n"/>
      <c r="O21" s="166" t="n"/>
      <c r="P21" s="166" t="n"/>
      <c r="Q21" s="166" t="n"/>
      <c r="R21" s="168" t="n"/>
      <c r="S21" s="168" t="n"/>
      <c r="T21" s="168">
        <f>IF(Q21="","",Q21-C21)</f>
        <v/>
      </c>
      <c r="U21" s="168">
        <f>IF(OR(Q21="",D21=""),"",IF(D21&lt;Q21,"REVISAR FECHA",D21-Q21))</f>
        <v/>
      </c>
      <c r="V21" s="168">
        <f>IF(D21="","",IF(D21&lt;C21,"REVISAR FECHA",D21-C21))</f>
        <v/>
      </c>
      <c r="W21" s="168" t="n"/>
      <c r="X21" s="84">
        <f>IF(H21="VENDIDO","CERRADO",IF(W21="","",IF(W21&gt;120,"CRÍTICO",IF(W21&gt;90,"ALERTA",IF(W21&gt;60,"REVISAR","NORMAL")))))</f>
        <v/>
      </c>
      <c r="Y21">
        <f>IF(D21="","",TEXT(D21,"mmmm yyyy"))</f>
        <v/>
      </c>
      <c r="Z21">
        <f>IF(B21="LOCAL","LOCAL","LOTE")</f>
        <v/>
      </c>
    </row>
    <row r="22" ht="15.6" customHeight="1" s="170">
      <c r="A22" s="99" t="n">
        <v>18</v>
      </c>
      <c r="B22" s="11" t="n">
        <v>91137615</v>
      </c>
      <c r="C22" s="66" t="n">
        <v>45993</v>
      </c>
      <c r="D22" s="74" t="n">
        <v>46130</v>
      </c>
      <c r="E22" s="12" t="inlineStr">
        <is>
          <t>KIA</t>
        </is>
      </c>
      <c r="F22" s="13" t="inlineStr">
        <is>
          <t>SOUL LX ORANGE</t>
        </is>
      </c>
      <c r="G22" s="110" t="n">
        <v>2020</v>
      </c>
      <c r="H22" s="10" t="inlineStr">
        <is>
          <t>VENDIDO</t>
        </is>
      </c>
      <c r="I22" s="39" t="inlineStr">
        <is>
          <t>HYP CAR SERVICES S.A. DE C.V.</t>
        </is>
      </c>
      <c r="J22" s="6" t="n"/>
      <c r="K22" s="6" t="n"/>
      <c r="L22" s="56" t="n"/>
      <c r="M22" s="166" t="n"/>
      <c r="N22" s="166" t="n"/>
      <c r="O22" s="166" t="n"/>
      <c r="P22" s="166" t="n"/>
      <c r="Q22" s="166" t="n"/>
      <c r="R22" s="168" t="n"/>
      <c r="S22" s="168" t="n"/>
      <c r="T22" s="168">
        <f>IF(Q22="","",Q22-C22)</f>
        <v/>
      </c>
      <c r="U22" s="168">
        <f>IF(OR(Q22="",D22=""),"",IF(D22&lt;Q22,"REVISAR FECHA",D22-Q22))</f>
        <v/>
      </c>
      <c r="V22" s="168">
        <f>IF(D22="","",IF(D22&lt;C22,"REVISAR FECHA",D22-C22))</f>
        <v/>
      </c>
      <c r="W22" s="168" t="n"/>
      <c r="X22" s="84">
        <f>IF(H22="VENDIDO","CERRADO",IF(W22="","",IF(W22&gt;120,"CRÍTICO",IF(W22&gt;90,"ALERTA",IF(W22&gt;60,"REVISAR","NORMAL")))))</f>
        <v/>
      </c>
      <c r="Y22">
        <f>IF(D22="","",TEXT(D22,"mmmm yyyy"))</f>
        <v/>
      </c>
      <c r="Z22">
        <f>IF(B22="LOCAL","LOCAL","LOTE")</f>
        <v/>
      </c>
    </row>
    <row r="23" ht="15.6" customHeight="1" s="170">
      <c r="A23" s="104" t="n">
        <v>19</v>
      </c>
      <c r="B23" s="20" t="n">
        <v>92430325</v>
      </c>
      <c r="C23" s="75" t="n">
        <v>45993</v>
      </c>
      <c r="D23" s="65" t="n">
        <v>46108</v>
      </c>
      <c r="E23" s="12" t="inlineStr">
        <is>
          <t>KIA</t>
        </is>
      </c>
      <c r="F23" s="13" t="inlineStr">
        <is>
          <t>RIO LX WHITE</t>
        </is>
      </c>
      <c r="G23" s="109" t="n">
        <v>2020</v>
      </c>
      <c r="H23" s="10" t="inlineStr">
        <is>
          <t>VENDIDO</t>
        </is>
      </c>
      <c r="I23" s="39" t="inlineStr">
        <is>
          <t>HYP CAR SERVICES S.A. DE C.V.</t>
        </is>
      </c>
      <c r="J23" s="6" t="n"/>
      <c r="K23" s="6" t="n"/>
      <c r="L23" s="56" t="n"/>
      <c r="M23" s="166" t="n"/>
      <c r="N23" s="166" t="n"/>
      <c r="O23" s="166" t="n"/>
      <c r="P23" s="166" t="n"/>
      <c r="Q23" s="166" t="n"/>
      <c r="R23" s="168" t="n"/>
      <c r="S23" s="168" t="n"/>
      <c r="T23" s="168">
        <f>IF(Q23="","",Q23-C23)</f>
        <v/>
      </c>
      <c r="U23" s="168">
        <f>IF(OR(Q23="",D23=""),"",IF(D23&lt;Q23,"REVISAR FECHA",D23-Q23))</f>
        <v/>
      </c>
      <c r="V23" s="168">
        <f>IF(D23="","",IF(D23&lt;C23,"REVISAR FECHA",D23-C23))</f>
        <v/>
      </c>
      <c r="W23" s="168" t="n"/>
      <c r="X23" s="84">
        <f>IF(H23="VENDIDO","CERRADO",IF(W23="","",IF(W23&gt;120,"CRÍTICO",IF(W23&gt;90,"ALERTA",IF(W23&gt;60,"REVISAR","NORMAL")))))</f>
        <v/>
      </c>
      <c r="Y23">
        <f>IF(D23="","",TEXT(D23,"mmmm yyyy"))</f>
        <v/>
      </c>
      <c r="Z23">
        <f>IF(B23="LOCAL","LOCAL","LOTE")</f>
        <v/>
      </c>
    </row>
    <row r="24" ht="15.6" customHeight="1" s="170">
      <c r="A24" s="104" t="n">
        <v>20</v>
      </c>
      <c r="B24" s="20" t="n">
        <v>91957805</v>
      </c>
      <c r="C24" s="75" t="n">
        <v>45994</v>
      </c>
      <c r="D24" s="65" t="n">
        <v>46104</v>
      </c>
      <c r="E24" s="12" t="inlineStr">
        <is>
          <t>MITSUBISHI</t>
        </is>
      </c>
      <c r="F24" s="13" t="inlineStr">
        <is>
          <t>MIRAGE G4 BLUE</t>
        </is>
      </c>
      <c r="G24" s="109" t="n">
        <v>2020</v>
      </c>
      <c r="H24" s="10" t="inlineStr">
        <is>
          <t>VENDIDO</t>
        </is>
      </c>
      <c r="I24" s="39" t="inlineStr">
        <is>
          <t>WILFREDO PASCACIO BARRERA</t>
        </is>
      </c>
      <c r="J24" s="6" t="n"/>
      <c r="K24" s="6" t="n"/>
      <c r="L24" s="56" t="n"/>
      <c r="M24" s="166" t="n"/>
      <c r="N24" s="166" t="n"/>
      <c r="O24" s="166" t="n"/>
      <c r="P24" s="166" t="n"/>
      <c r="Q24" s="166" t="n"/>
      <c r="R24" s="168" t="n"/>
      <c r="S24" s="168" t="n"/>
      <c r="T24" s="168">
        <f>IF(Q24="","",Q24-C24)</f>
        <v/>
      </c>
      <c r="U24" s="168">
        <f>IF(OR(Q24="",D24=""),"",IF(D24&lt;Q24,"REVISAR FECHA",D24-Q24))</f>
        <v/>
      </c>
      <c r="V24" s="168">
        <f>IF(D24="","",IF(D24&lt;C24,"REVISAR FECHA",D24-C24))</f>
        <v/>
      </c>
      <c r="W24" s="168" t="n"/>
      <c r="X24" s="84">
        <f>IF(H24="VENDIDO","CERRADO",IF(W24="","",IF(W24&gt;120,"CRÍTICO",IF(W24&gt;90,"ALERTA",IF(W24&gt;60,"REVISAR","NORMAL")))))</f>
        <v/>
      </c>
      <c r="Y24">
        <f>IF(D24="","",TEXT(D24,"mmmm yyyy"))</f>
        <v/>
      </c>
      <c r="Z24">
        <f>IF(B24="LOCAL","LOCAL","LOTE")</f>
        <v/>
      </c>
    </row>
    <row r="25" ht="15.6" customHeight="1" s="170">
      <c r="A25" s="98" t="n">
        <v>21</v>
      </c>
      <c r="B25" s="7" t="inlineStr">
        <is>
          <t>LOCAL</t>
        </is>
      </c>
      <c r="C25" s="64" t="n">
        <v>45995</v>
      </c>
      <c r="D25" s="65" t="n">
        <v>46003</v>
      </c>
      <c r="E25" s="12" t="inlineStr">
        <is>
          <t>HONDA</t>
        </is>
      </c>
      <c r="F25" s="13" t="inlineStr">
        <is>
          <t>FIT SPORT</t>
        </is>
      </c>
      <c r="G25" s="109" t="n">
        <v>2016</v>
      </c>
      <c r="H25" s="10" t="inlineStr">
        <is>
          <t>VENDIDO</t>
        </is>
      </c>
      <c r="I25" s="39" t="inlineStr">
        <is>
          <t>LIC. JUAN ARMANDO MATA</t>
        </is>
      </c>
      <c r="J25" s="6" t="n"/>
      <c r="K25" s="6" t="n"/>
      <c r="L25" s="56" t="n"/>
      <c r="M25" s="166" t="n"/>
      <c r="N25" s="166" t="n"/>
      <c r="O25" s="166" t="n"/>
      <c r="P25" s="166" t="n"/>
      <c r="Q25" s="166" t="n"/>
      <c r="R25" s="168" t="n"/>
      <c r="S25" s="168" t="n"/>
      <c r="T25" s="168">
        <f>IF(Q25="","",Q25-C25)</f>
        <v/>
      </c>
      <c r="U25" s="168">
        <f>IF(OR(Q25="",D25=""),"",IF(D25&lt;Q25,"REVISAR FECHA",D25-Q25))</f>
        <v/>
      </c>
      <c r="V25" s="168">
        <f>IF(D25="","",IF(D25&lt;C25,"REVISAR FECHA",D25-C25))</f>
        <v/>
      </c>
      <c r="W25" s="168" t="n"/>
      <c r="X25" s="84">
        <f>IF(H25="VENDIDO","CERRADO",IF(W25="","",IF(W25&gt;120,"CRÍTICO",IF(W25&gt;90,"ALERTA",IF(W25&gt;60,"REVISAR","NORMAL")))))</f>
        <v/>
      </c>
      <c r="Y25">
        <f>IF(D25="","",TEXT(D25,"mmmm yyyy"))</f>
        <v/>
      </c>
      <c r="Z25">
        <f>IF(B25="LOCAL","LOCAL","LOTE")</f>
        <v/>
      </c>
    </row>
    <row r="26" ht="15.6" customHeight="1" s="170">
      <c r="A26" s="104" t="n">
        <v>22</v>
      </c>
      <c r="B26" s="20" t="n">
        <v>81809775</v>
      </c>
      <c r="C26" s="75" t="n">
        <v>45995</v>
      </c>
      <c r="D26" s="65" t="n">
        <v>46100</v>
      </c>
      <c r="E26" s="12" t="inlineStr">
        <is>
          <t>HYUNDAI</t>
        </is>
      </c>
      <c r="F26" s="13" t="inlineStr">
        <is>
          <t>ELANTRA SE BLACK</t>
        </is>
      </c>
      <c r="G26" s="109" t="n">
        <v>2020</v>
      </c>
      <c r="H26" s="10" t="inlineStr">
        <is>
          <t>VENDIDO</t>
        </is>
      </c>
      <c r="I26" s="39" t="inlineStr">
        <is>
          <t>HYP CAR SERVICES S.A. DE C.V.</t>
        </is>
      </c>
      <c r="J26" s="6" t="n"/>
      <c r="K26" s="6" t="n"/>
      <c r="L26" s="56" t="n"/>
      <c r="M26" s="166" t="n"/>
      <c r="N26" s="166" t="n"/>
      <c r="O26" s="166" t="n"/>
      <c r="P26" s="166" t="n"/>
      <c r="Q26" s="166" t="n"/>
      <c r="R26" s="168" t="n"/>
      <c r="S26" s="168" t="n"/>
      <c r="T26" s="168">
        <f>IF(Q26="","",Q26-C26)</f>
        <v/>
      </c>
      <c r="U26" s="168">
        <f>IF(OR(Q26="",D26=""),"",IF(D26&lt;Q26,"REVISAR FECHA",D26-Q26))</f>
        <v/>
      </c>
      <c r="V26" s="168">
        <f>IF(D26="","",IF(D26&lt;C26,"REVISAR FECHA",D26-C26))</f>
        <v/>
      </c>
      <c r="W26" s="168" t="n"/>
      <c r="X26" s="84">
        <f>IF(H26="VENDIDO","CERRADO",IF(W26="","",IF(W26&gt;120,"CRÍTICO",IF(W26&gt;90,"ALERTA",IF(W26&gt;60,"REVISAR","NORMAL")))))</f>
        <v/>
      </c>
      <c r="Y26">
        <f>IF(D26="","",TEXT(D26,"mmmm yyyy"))</f>
        <v/>
      </c>
      <c r="Z26">
        <f>IF(B26="LOCAL","LOCAL","LOTE")</f>
        <v/>
      </c>
    </row>
    <row r="27" ht="15.6" customHeight="1" s="170">
      <c r="A27" s="104" t="n">
        <v>23</v>
      </c>
      <c r="B27" s="20" t="n">
        <v>80069525</v>
      </c>
      <c r="C27" s="75" t="n">
        <v>45995</v>
      </c>
      <c r="D27" s="65" t="n">
        <v>46100</v>
      </c>
      <c r="E27" s="12" t="inlineStr">
        <is>
          <t>HYUNDAI</t>
        </is>
      </c>
      <c r="F27" s="13" t="inlineStr">
        <is>
          <t>ACCENT SE</t>
        </is>
      </c>
      <c r="G27" s="109" t="n">
        <v>2020</v>
      </c>
      <c r="H27" s="10" t="inlineStr">
        <is>
          <t>VENDIDO</t>
        </is>
      </c>
      <c r="I27" s="39" t="inlineStr">
        <is>
          <t>HYP CAR SERVICES S.A. DE C.V.</t>
        </is>
      </c>
      <c r="J27" s="6" t="n"/>
      <c r="K27" s="6" t="n"/>
      <c r="L27" s="56" t="n"/>
      <c r="M27" s="166" t="n"/>
      <c r="N27" s="166" t="n"/>
      <c r="O27" s="166" t="n"/>
      <c r="P27" s="166" t="n"/>
      <c r="Q27" s="166" t="n"/>
      <c r="R27" s="168" t="n"/>
      <c r="S27" s="168" t="n"/>
      <c r="T27" s="168">
        <f>IF(Q27="","",Q27-C27)</f>
        <v/>
      </c>
      <c r="U27" s="168">
        <f>IF(OR(Q27="",D27=""),"",IF(D27&lt;Q27,"REVISAR FECHA",D27-Q27))</f>
        <v/>
      </c>
      <c r="V27" s="168">
        <f>IF(D27="","",IF(D27&lt;C27,"REVISAR FECHA",D27-C27))</f>
        <v/>
      </c>
      <c r="W27" s="168" t="n"/>
      <c r="X27" s="84">
        <f>IF(H27="VENDIDO","CERRADO",IF(W27="","",IF(W27&gt;120,"CRÍTICO",IF(W27&gt;90,"ALERTA",IF(W27&gt;60,"REVISAR","NORMAL")))))</f>
        <v/>
      </c>
      <c r="Y27">
        <f>IF(D27="","",TEXT(D27,"mmmm yyyy"))</f>
        <v/>
      </c>
      <c r="Z27">
        <f>IF(B27="LOCAL","LOCAL","LOTE")</f>
        <v/>
      </c>
    </row>
    <row r="28" ht="15.6" customHeight="1" s="170">
      <c r="A28" s="98" t="n">
        <v>24</v>
      </c>
      <c r="B28" s="14" t="n">
        <v>92571825</v>
      </c>
      <c r="C28" s="64" t="n">
        <v>45996</v>
      </c>
      <c r="D28" s="65" t="n">
        <v>46080</v>
      </c>
      <c r="E28" s="12" t="inlineStr">
        <is>
          <t>NISSAN</t>
        </is>
      </c>
      <c r="F28" s="13" t="inlineStr">
        <is>
          <t>KICKS S BLACK</t>
        </is>
      </c>
      <c r="G28" s="109" t="n">
        <v>2019</v>
      </c>
      <c r="H28" s="10" t="inlineStr">
        <is>
          <t>VENDIDO</t>
        </is>
      </c>
      <c r="I28" s="39" t="inlineStr">
        <is>
          <t>TATIANA KARINA ORELLANA DE MANZANO</t>
        </is>
      </c>
      <c r="J28" s="6" t="n"/>
      <c r="K28" s="6" t="n"/>
      <c r="L28" s="56" t="n"/>
      <c r="M28" s="166" t="n"/>
      <c r="N28" s="166" t="n"/>
      <c r="O28" s="166" t="n"/>
      <c r="P28" s="166" t="n"/>
      <c r="Q28" s="166" t="n"/>
      <c r="R28" s="168" t="n"/>
      <c r="S28" s="168" t="n"/>
      <c r="T28" s="168">
        <f>IF(Q28="","",Q28-C28)</f>
        <v/>
      </c>
      <c r="U28" s="168">
        <f>IF(OR(Q28="",D28=""),"",IF(D28&lt;Q28,"REVISAR FECHA",D28-Q28))</f>
        <v/>
      </c>
      <c r="V28" s="168">
        <f>IF(D28="","",IF(D28&lt;C28,"REVISAR FECHA",D28-C28))</f>
        <v/>
      </c>
      <c r="W28" s="168" t="n"/>
      <c r="X28" s="84">
        <f>IF(H28="VENDIDO","CERRADO",IF(W28="","",IF(W28&gt;120,"CRÍTICO",IF(W28&gt;90,"ALERTA",IF(W28&gt;60,"REVISAR","NORMAL")))))</f>
        <v/>
      </c>
      <c r="Y28">
        <f>IF(D28="","",TEXT(D28,"mmmm yyyy"))</f>
        <v/>
      </c>
      <c r="Z28">
        <f>IF(B28="LOCAL","LOCAL","LOTE")</f>
        <v/>
      </c>
    </row>
    <row r="29" ht="15.6" customHeight="1" s="170">
      <c r="A29" s="98" t="n">
        <v>25</v>
      </c>
      <c r="B29" s="7" t="inlineStr">
        <is>
          <t>LOCAL</t>
        </is>
      </c>
      <c r="C29" s="64" t="n">
        <v>46017</v>
      </c>
      <c r="D29" s="65" t="n">
        <v>46029</v>
      </c>
      <c r="E29" s="12" t="inlineStr">
        <is>
          <t>NISSAN</t>
        </is>
      </c>
      <c r="F29" s="13" t="inlineStr">
        <is>
          <t>PATHFINDER SL</t>
        </is>
      </c>
      <c r="G29" s="109" t="n">
        <v>2023</v>
      </c>
      <c r="H29" s="10" t="inlineStr">
        <is>
          <t>VENDIDO</t>
        </is>
      </c>
      <c r="I29" s="39" t="inlineStr">
        <is>
          <t>HYP CAR SERVICES S.A. DE C.V.</t>
        </is>
      </c>
      <c r="J29" s="6" t="n"/>
      <c r="K29" s="6" t="n"/>
      <c r="L29" s="56" t="n"/>
      <c r="M29" s="166" t="n"/>
      <c r="N29" s="166" t="n"/>
      <c r="O29" s="166" t="n"/>
      <c r="P29" s="166" t="n"/>
      <c r="Q29" s="166" t="n"/>
      <c r="R29" s="168" t="n"/>
      <c r="S29" s="168" t="n"/>
      <c r="T29" s="168">
        <f>IF(Q29="","",Q29-C29)</f>
        <v/>
      </c>
      <c r="U29" s="168">
        <f>IF(OR(Q29="",D29=""),"",IF(D29&lt;Q29,"REVISAR FECHA",D29-Q29))</f>
        <v/>
      </c>
      <c r="V29" s="168">
        <f>IF(D29="","",IF(D29&lt;C29,"REVISAR FECHA",D29-C29))</f>
        <v/>
      </c>
      <c r="W29" s="168" t="n"/>
      <c r="X29" s="84">
        <f>IF(H29="VENDIDO","CERRADO",IF(W29="","",IF(W29&gt;120,"CRÍTICO",IF(W29&gt;90,"ALERTA",IF(W29&gt;60,"REVISAR","NORMAL")))))</f>
        <v/>
      </c>
      <c r="Y29">
        <f>IF(D29="","",TEXT(D29,"mmmm yyyy"))</f>
        <v/>
      </c>
      <c r="Z29">
        <f>IF(B29="LOCAL","LOCAL","LOTE")</f>
        <v/>
      </c>
    </row>
    <row r="30" ht="15.6" customHeight="1" s="170">
      <c r="A30" s="104" t="n">
        <v>26</v>
      </c>
      <c r="B30" s="20" t="n">
        <v>93970575</v>
      </c>
      <c r="C30" s="75" t="n">
        <v>46028</v>
      </c>
      <c r="D30" s="65" t="n">
        <v>46108</v>
      </c>
      <c r="E30" s="12" t="inlineStr">
        <is>
          <t>KIA</t>
        </is>
      </c>
      <c r="F30" s="13" t="inlineStr">
        <is>
          <t>FORTE WHITE</t>
        </is>
      </c>
      <c r="G30" s="109" t="n">
        <v>2019</v>
      </c>
      <c r="H30" s="10" t="inlineStr">
        <is>
          <t>VENDIDO</t>
        </is>
      </c>
      <c r="I30" s="39" t="inlineStr">
        <is>
          <t>HYP CAR SERVICES S.A. DE C.V.</t>
        </is>
      </c>
      <c r="J30" s="6" t="n"/>
      <c r="K30" s="6" t="n"/>
      <c r="L30" s="56" t="n"/>
      <c r="M30" s="166" t="n"/>
      <c r="N30" s="166" t="n"/>
      <c r="O30" s="166" t="n"/>
      <c r="P30" s="166" t="n"/>
      <c r="Q30" s="166" t="n"/>
      <c r="R30" s="168" t="n"/>
      <c r="S30" s="168" t="n"/>
      <c r="T30" s="168">
        <f>IF(Q30="","",Q30-C30)</f>
        <v/>
      </c>
      <c r="U30" s="168">
        <f>IF(OR(Q30="",D30=""),"",IF(D30&lt;Q30,"REVISAR FECHA",D30-Q30))</f>
        <v/>
      </c>
      <c r="V30" s="168">
        <f>IF(D30="","",IF(D30&lt;C30,"REVISAR FECHA",D30-C30))</f>
        <v/>
      </c>
      <c r="W30" s="168" t="n"/>
      <c r="X30" s="84">
        <f>IF(H30="VENDIDO","CERRADO",IF(W30="","",IF(W30&gt;120,"CRÍTICO",IF(W30&gt;90,"ALERTA",IF(W30&gt;60,"REVISAR","NORMAL")))))</f>
        <v/>
      </c>
      <c r="Y30">
        <f>IF(D30="","",TEXT(D30,"mmmm yyyy"))</f>
        <v/>
      </c>
      <c r="Z30">
        <f>IF(B30="LOCAL","LOCAL","LOTE")</f>
        <v/>
      </c>
    </row>
    <row r="31" ht="15.6" customHeight="1" s="170">
      <c r="A31" s="106" t="n">
        <v>27</v>
      </c>
      <c r="B31" s="22" t="n">
        <v>85282515</v>
      </c>
      <c r="C31" s="77" t="n">
        <v>46028</v>
      </c>
      <c r="D31" s="78" t="n"/>
      <c r="E31" s="12" t="inlineStr">
        <is>
          <t>HYUNDAI</t>
        </is>
      </c>
      <c r="F31" s="13" t="inlineStr">
        <is>
          <t>TUCSON LIM BLACK</t>
        </is>
      </c>
      <c r="G31" s="115" t="n">
        <v>2019</v>
      </c>
      <c r="H31" s="95" t="inlineStr">
        <is>
          <t>DISPONIBLE VENTA</t>
        </is>
      </c>
      <c r="I31" s="42" t="inlineStr">
        <is>
          <t>LISTO PARA LA VENTA</t>
        </is>
      </c>
      <c r="J31" s="6" t="n"/>
      <c r="K31" s="6" t="n"/>
      <c r="L31" s="56" t="n"/>
      <c r="M31" s="166" t="n"/>
      <c r="N31" s="166" t="n"/>
      <c r="O31" s="166" t="n"/>
      <c r="P31" s="166" t="n"/>
      <c r="Q31" s="166" t="n"/>
      <c r="R31" s="168" t="n"/>
      <c r="S31" s="168" t="n"/>
      <c r="T31" s="168">
        <f>IF(Q31="","",Q31-C31)</f>
        <v/>
      </c>
      <c r="U31" s="168">
        <f>IF(OR(Q31="",D31=""),"",IF(D31&lt;Q31,"REVISAR FECHA",D31-Q31))</f>
        <v/>
      </c>
      <c r="V31" s="168">
        <f>IF(D31="","",IF(D31&lt;C31,"REVISAR FECHA",D31-C31))</f>
        <v/>
      </c>
      <c r="W31" s="168" t="n">
        <v>158</v>
      </c>
      <c r="X31" s="84">
        <f>IF(H31="VENDIDO","CERRADO",IF(W31="","",IF(W31&gt;120,"CRÍTICO",IF(W31&gt;90,"ALERTA",IF(W31&gt;60,"REVISAR","NORMAL")))))</f>
        <v/>
      </c>
      <c r="Y31">
        <f>IF(D31="","",TEXT(D31,"mmmm yyyy"))</f>
        <v/>
      </c>
      <c r="Z31">
        <f>IF(B31="LOCAL","LOCAL","LOTE")</f>
        <v/>
      </c>
    </row>
    <row r="32" ht="15.6" customHeight="1" s="170">
      <c r="A32" s="107" t="n">
        <v>28</v>
      </c>
      <c r="B32" s="23" t="n">
        <v>94475305</v>
      </c>
      <c r="C32" s="79" t="n">
        <v>46029</v>
      </c>
      <c r="D32" s="74" t="n"/>
      <c r="E32" s="12" t="inlineStr">
        <is>
          <t>HYUNDAI</t>
        </is>
      </c>
      <c r="F32" s="13" t="inlineStr">
        <is>
          <t>ELANTRA SE RED</t>
        </is>
      </c>
      <c r="G32" s="117" t="n">
        <v>2020</v>
      </c>
      <c r="H32" s="95" t="inlineStr">
        <is>
          <t>DISPONIBLE VENTA</t>
        </is>
      </c>
      <c r="I32" s="42" t="inlineStr">
        <is>
          <t>LISTO PARA LA VENTA</t>
        </is>
      </c>
      <c r="J32" s="6" t="n"/>
      <c r="K32" s="6" t="n"/>
      <c r="L32" s="56" t="n"/>
      <c r="M32" s="166" t="n"/>
      <c r="N32" s="166" t="n"/>
      <c r="O32" s="166" t="n"/>
      <c r="P32" s="166" t="n"/>
      <c r="Q32" s="166" t="n"/>
      <c r="R32" s="168" t="n"/>
      <c r="S32" s="168" t="n"/>
      <c r="T32" s="168">
        <f>IF(Q32="","",Q32-C32)</f>
        <v/>
      </c>
      <c r="U32" s="168">
        <f>IF(OR(Q32="",D32=""),"",IF(D32&lt;Q32,"REVISAR FECHA",D32-Q32))</f>
        <v/>
      </c>
      <c r="V32" s="168">
        <f>IF(D32="","",IF(D32&lt;C32,"REVISAR FECHA",D32-C32))</f>
        <v/>
      </c>
      <c r="W32" s="168" t="n">
        <v>157</v>
      </c>
      <c r="X32" s="84">
        <f>IF(H32="VENDIDO","CERRADO",IF(W32="","",IF(W32&gt;120,"CRÍTICO",IF(W32&gt;90,"ALERTA",IF(W32&gt;60,"REVISAR","NORMAL")))))</f>
        <v/>
      </c>
      <c r="Y32">
        <f>IF(D32="","",TEXT(D32,"mmmm yyyy"))</f>
        <v/>
      </c>
      <c r="Z32">
        <f>IF(B32="LOCAL","LOCAL","LOTE")</f>
        <v/>
      </c>
    </row>
    <row r="33" ht="15.6" customHeight="1" s="170">
      <c r="A33" s="107" t="n">
        <v>29</v>
      </c>
      <c r="B33" s="23" t="n">
        <v>90341025</v>
      </c>
      <c r="C33" s="79" t="n">
        <v>46029</v>
      </c>
      <c r="D33" s="80" t="n"/>
      <c r="E33" s="12" t="inlineStr">
        <is>
          <t>CHEVROLET</t>
        </is>
      </c>
      <c r="F33" s="13" t="inlineStr">
        <is>
          <t>SPARK 1LT</t>
        </is>
      </c>
      <c r="G33" s="117" t="n">
        <v>2022</v>
      </c>
      <c r="H33" s="90" t="inlineStr">
        <is>
          <t>LEGALIZACION</t>
        </is>
      </c>
      <c r="I33" s="43" t="inlineStr">
        <is>
          <t>ESPERANDO CITA DE EXPERTICIE</t>
        </is>
      </c>
      <c r="J33" s="6" t="n"/>
      <c r="K33" s="6" t="n"/>
      <c r="L33" s="56" t="n"/>
      <c r="M33" s="166" t="n"/>
      <c r="N33" s="166" t="n"/>
      <c r="O33" s="166" t="n"/>
      <c r="P33" s="166" t="n"/>
      <c r="Q33" s="166" t="n"/>
      <c r="R33" s="168" t="n"/>
      <c r="S33" s="168" t="n"/>
      <c r="T33" s="168">
        <f>IF(Q33="","",Q33-C33)</f>
        <v/>
      </c>
      <c r="U33" s="168">
        <f>IF(OR(Q33="",D33=""),"",IF(D33&lt;Q33,"REVISAR FECHA",D33-Q33))</f>
        <v/>
      </c>
      <c r="V33" s="168">
        <f>IF(D33="","",IF(D33&lt;C33,"REVISAR FECHA",D33-C33))</f>
        <v/>
      </c>
      <c r="W33" s="168" t="n">
        <v>157</v>
      </c>
      <c r="X33" s="84">
        <f>IF(H33="VENDIDO","CERRADO",IF(W33="","",IF(W33&gt;120,"CRÍTICO",IF(W33&gt;90,"ALERTA",IF(W33&gt;60,"REVISAR","NORMAL")))))</f>
        <v/>
      </c>
      <c r="Y33">
        <f>IF(D33="","",TEXT(D33,"mmmm yyyy"))</f>
        <v/>
      </c>
      <c r="Z33">
        <f>IF(B33="LOCAL","LOCAL","LOTE")</f>
        <v/>
      </c>
    </row>
    <row r="34" ht="15.6" customHeight="1" s="170">
      <c r="A34" s="107" t="n">
        <v>30</v>
      </c>
      <c r="B34" s="23" t="n">
        <v>95636305</v>
      </c>
      <c r="C34" s="79" t="n">
        <v>46029</v>
      </c>
      <c r="D34" s="80" t="n"/>
      <c r="E34" s="12" t="inlineStr">
        <is>
          <t>NISSAN</t>
        </is>
      </c>
      <c r="F34" s="13" t="inlineStr">
        <is>
          <t>SENTRA SV</t>
        </is>
      </c>
      <c r="G34" s="117" t="n">
        <v>2020</v>
      </c>
      <c r="H34" s="95" t="inlineStr">
        <is>
          <t>DISPONIBLE VENTA</t>
        </is>
      </c>
      <c r="I34" s="42" t="inlineStr">
        <is>
          <t>LISTO PARA LA VENTA</t>
        </is>
      </c>
      <c r="J34" s="6" t="n"/>
      <c r="K34" s="6" t="n"/>
      <c r="L34" s="56" t="n"/>
      <c r="M34" s="166" t="n"/>
      <c r="N34" s="166" t="n"/>
      <c r="O34" s="166" t="n"/>
      <c r="P34" s="166" t="n"/>
      <c r="Q34" s="166" t="n"/>
      <c r="R34" s="168" t="n"/>
      <c r="S34" s="168" t="n"/>
      <c r="T34" s="168">
        <f>IF(Q34="","",Q34-C34)</f>
        <v/>
      </c>
      <c r="U34" s="168">
        <f>IF(OR(Q34="",D34=""),"",IF(D34&lt;Q34,"REVISAR FECHA",D34-Q34))</f>
        <v/>
      </c>
      <c r="V34" s="168">
        <f>IF(D34="","",IF(D34&lt;C34,"REVISAR FECHA",D34-C34))</f>
        <v/>
      </c>
      <c r="W34" s="168" t="n">
        <v>157</v>
      </c>
      <c r="X34" s="84">
        <f>IF(H34="VENDIDO","CERRADO",IF(W34="","",IF(W34&gt;120,"CRÍTICO",IF(W34&gt;90,"ALERTA",IF(W34&gt;60,"REVISAR","NORMAL")))))</f>
        <v/>
      </c>
      <c r="Y34">
        <f>IF(D34="","",TEXT(D34,"mmmm yyyy"))</f>
        <v/>
      </c>
      <c r="Z34">
        <f>IF(B34="LOCAL","LOCAL","LOTE")</f>
        <v/>
      </c>
    </row>
    <row r="35" ht="15.6" customHeight="1" s="170">
      <c r="A35" s="107" t="n">
        <v>31</v>
      </c>
      <c r="B35" s="23" t="n">
        <v>48992325</v>
      </c>
      <c r="C35" s="79" t="n">
        <v>46076</v>
      </c>
      <c r="D35" s="80" t="n"/>
      <c r="E35" s="12" t="inlineStr">
        <is>
          <t>HYUNDAI</t>
        </is>
      </c>
      <c r="F35" s="13" t="inlineStr">
        <is>
          <t>TUSON SE</t>
        </is>
      </c>
      <c r="G35" s="118" t="n">
        <v>2019</v>
      </c>
      <c r="H35" s="36" t="inlineStr">
        <is>
          <t>SERVICIO DE IMPORTACION</t>
        </is>
      </c>
      <c r="I35" s="44" t="inlineStr">
        <is>
          <t>ENTREGADO</t>
        </is>
      </c>
      <c r="J35" s="6" t="n"/>
      <c r="K35" s="6" t="n"/>
      <c r="L35" s="56" t="n"/>
      <c r="M35" s="166" t="n"/>
      <c r="N35" s="166" t="n"/>
      <c r="O35" s="166" t="n"/>
      <c r="P35" s="166" t="n"/>
      <c r="Q35" s="166" t="n"/>
      <c r="R35" s="168" t="n"/>
      <c r="S35" s="168" t="n"/>
      <c r="T35" s="168">
        <f>IF(Q35="","",Q35-C35)</f>
        <v/>
      </c>
      <c r="U35" s="168">
        <f>IF(OR(Q35="",D35=""),"",IF(D35&lt;Q35,"REVISAR FECHA",D35-Q35))</f>
        <v/>
      </c>
      <c r="V35" s="168">
        <f>IF(D35="","",IF(D35&lt;C35,"REVISAR FECHA",D35-C35))</f>
        <v/>
      </c>
      <c r="W35" s="168" t="n">
        <v>110</v>
      </c>
      <c r="X35" s="84">
        <f>IF(H35="VENDIDO","CERRADO",IF(W35="","",IF(W35&gt;120,"CRÍTICO",IF(W35&gt;90,"ALERTA",IF(W35&gt;60,"REVISAR","NORMAL")))))</f>
        <v/>
      </c>
      <c r="Y35">
        <f>IF(D35="","",TEXT(D35,"mmmm yyyy"))</f>
        <v/>
      </c>
      <c r="Z35">
        <f>IF(B35="LOCAL","LOCAL","LOTE")</f>
        <v/>
      </c>
    </row>
    <row r="36" ht="15.6" customHeight="1" s="170">
      <c r="A36" s="107" t="n">
        <v>32</v>
      </c>
      <c r="B36" s="23" t="n">
        <v>97552065</v>
      </c>
      <c r="C36" s="79" t="n">
        <v>46076</v>
      </c>
      <c r="D36" s="80" t="n"/>
      <c r="E36" s="12" t="inlineStr">
        <is>
          <t>CHEVROLET</t>
        </is>
      </c>
      <c r="F36" s="13" t="inlineStr">
        <is>
          <t>TRAX LS</t>
        </is>
      </c>
      <c r="G36" s="117" t="n">
        <v>2019</v>
      </c>
      <c r="H36" s="95" t="inlineStr">
        <is>
          <t>DISPONIBLE VENTA</t>
        </is>
      </c>
      <c r="I36" s="42" t="inlineStr">
        <is>
          <t>LISTO PARA LA VENTA</t>
        </is>
      </c>
      <c r="J36" s="6" t="n"/>
      <c r="K36" s="6" t="n"/>
      <c r="L36" s="56" t="n"/>
      <c r="M36" s="166" t="n"/>
      <c r="N36" s="166" t="n"/>
      <c r="O36" s="166" t="n"/>
      <c r="P36" s="166" t="n"/>
      <c r="Q36" s="166" t="n"/>
      <c r="R36" s="168" t="n"/>
      <c r="S36" s="168" t="n"/>
      <c r="T36" s="168">
        <f>IF(Q36="","",Q36-C36)</f>
        <v/>
      </c>
      <c r="U36" s="168">
        <f>IF(OR(Q36="",D36=""),"",IF(D36&lt;Q36,"REVISAR FECHA",D36-Q36))</f>
        <v/>
      </c>
      <c r="V36" s="168">
        <f>IF(D36="","",IF(D36&lt;C36,"REVISAR FECHA",D36-C36))</f>
        <v/>
      </c>
      <c r="W36" s="168" t="n">
        <v>110</v>
      </c>
      <c r="X36" s="84">
        <f>IF(H36="VENDIDO","CERRADO",IF(W36="","",IF(W36&gt;120,"CRÍTICO",IF(W36&gt;90,"ALERTA",IF(W36&gt;60,"REVISAR","NORMAL")))))</f>
        <v/>
      </c>
      <c r="Y36">
        <f>IF(D36="","",TEXT(D36,"mmmm yyyy"))</f>
        <v/>
      </c>
      <c r="Z36">
        <f>IF(B36="LOCAL","LOCAL","LOTE")</f>
        <v/>
      </c>
    </row>
    <row r="37" ht="15.6" customHeight="1" s="170">
      <c r="A37" s="107" t="n">
        <v>33</v>
      </c>
      <c r="B37" s="23" t="n">
        <v>74284945</v>
      </c>
      <c r="C37" s="79" t="n">
        <v>46076</v>
      </c>
      <c r="D37" s="80" t="n"/>
      <c r="E37" s="12" t="inlineStr">
        <is>
          <t>KIA</t>
        </is>
      </c>
      <c r="F37" s="13" t="inlineStr">
        <is>
          <t>RIO LX</t>
        </is>
      </c>
      <c r="G37" s="117" t="n">
        <v>2020</v>
      </c>
      <c r="H37" s="90" t="inlineStr">
        <is>
          <t>LEGALIZACION</t>
        </is>
      </c>
      <c r="I37" s="43" t="inlineStr">
        <is>
          <t>ESPERANDO PLACAS</t>
        </is>
      </c>
      <c r="J37" s="6" t="n"/>
      <c r="K37" s="6" t="n"/>
      <c r="L37" s="56" t="n"/>
      <c r="M37" s="166" t="n"/>
      <c r="N37" s="166" t="n"/>
      <c r="O37" s="166" t="n"/>
      <c r="P37" s="166" t="n"/>
      <c r="Q37" s="166" t="n"/>
      <c r="R37" s="168" t="n"/>
      <c r="S37" s="168" t="n"/>
      <c r="T37" s="168">
        <f>IF(Q37="","",Q37-C37)</f>
        <v/>
      </c>
      <c r="U37" s="168">
        <f>IF(OR(Q37="",D37=""),"",IF(D37&lt;Q37,"REVISAR FECHA",D37-Q37))</f>
        <v/>
      </c>
      <c r="V37" s="168">
        <f>IF(D37="","",IF(D37&lt;C37,"REVISAR FECHA",D37-C37))</f>
        <v/>
      </c>
      <c r="W37" s="168" t="n">
        <v>110</v>
      </c>
      <c r="X37" s="84">
        <f>IF(H37="VENDIDO","CERRADO",IF(W37="","",IF(W37&gt;120,"CRÍTICO",IF(W37&gt;90,"ALERTA",IF(W37&gt;60,"REVISAR","NORMAL")))))</f>
        <v/>
      </c>
      <c r="Y37">
        <f>IF(D37="","",TEXT(D37,"mmmm yyyy"))</f>
        <v/>
      </c>
      <c r="Z37">
        <f>IF(B37="LOCAL","LOCAL","LOTE")</f>
        <v/>
      </c>
    </row>
    <row r="38" ht="15.6" customHeight="1" s="170">
      <c r="A38" s="107" t="n">
        <v>34</v>
      </c>
      <c r="B38" s="23" t="n">
        <v>95831325</v>
      </c>
      <c r="C38" s="79" t="n">
        <v>46077</v>
      </c>
      <c r="D38" s="80" t="n">
        <v>46176</v>
      </c>
      <c r="E38" s="12" t="inlineStr">
        <is>
          <t>NISSAN</t>
        </is>
      </c>
      <c r="F38" s="13" t="inlineStr">
        <is>
          <t>SENTRA S</t>
        </is>
      </c>
      <c r="G38" s="117" t="n">
        <v>2022</v>
      </c>
      <c r="H38" s="95" t="inlineStr">
        <is>
          <t>VENDIDO</t>
        </is>
      </c>
      <c r="I38" s="42" t="inlineStr">
        <is>
          <t>WALTER ADILSON ZEPEDA RIVAS</t>
        </is>
      </c>
      <c r="J38" s="6" t="n"/>
      <c r="K38" s="6" t="n"/>
      <c r="L38" s="56" t="n"/>
      <c r="M38" s="166" t="n"/>
      <c r="N38" s="166" t="n"/>
      <c r="O38" s="166" t="n"/>
      <c r="P38" s="166" t="n"/>
      <c r="Q38" s="166" t="n"/>
      <c r="R38" s="168" t="n"/>
      <c r="S38" s="168" t="n"/>
      <c r="T38" s="168">
        <f>IF(Q38="","",Q38-C38)</f>
        <v/>
      </c>
      <c r="U38" s="168">
        <f>IF(OR(Q38="",D38=""),"",IF(D38&lt;Q38,"REVISAR FECHA",D38-Q38))</f>
        <v/>
      </c>
      <c r="V38" s="168">
        <f>IF(D38="","",IF(D38&lt;C38,"REVISAR FECHA",D38-C38))</f>
        <v/>
      </c>
      <c r="W38" s="168" t="n"/>
      <c r="X38" s="84">
        <f>IF(H38="VENDIDO","CERRADO",IF(W38="","",IF(W38&gt;120,"CRÍTICO",IF(W38&gt;90,"ALERTA",IF(W38&gt;60,"REVISAR","NORMAL")))))</f>
        <v/>
      </c>
      <c r="Y38">
        <f>IF(D38="","",TEXT(D38,"mmmm yyyy"))</f>
        <v/>
      </c>
      <c r="Z38">
        <f>IF(B38="LOCAL","LOCAL","LOTE")</f>
        <v/>
      </c>
    </row>
    <row r="39" ht="15.6" customHeight="1" s="170">
      <c r="A39" s="107" t="n">
        <v>35</v>
      </c>
      <c r="B39" s="23" t="n">
        <v>75884695</v>
      </c>
      <c r="C39" s="79" t="n">
        <v>46077</v>
      </c>
      <c r="D39" s="80" t="n"/>
      <c r="E39" s="12" t="inlineStr">
        <is>
          <t>HYUNDAI</t>
        </is>
      </c>
      <c r="F39" s="13" t="inlineStr">
        <is>
          <t>SANTA FE SE</t>
        </is>
      </c>
      <c r="G39" s="117" t="n">
        <v>2020</v>
      </c>
      <c r="H39" s="94" t="inlineStr">
        <is>
          <t>REPARACION</t>
        </is>
      </c>
      <c r="I39" s="43" t="inlineStr">
        <is>
          <t>TALLER MANUEL</t>
        </is>
      </c>
      <c r="J39" s="6" t="n"/>
      <c r="K39" s="6" t="n"/>
      <c r="L39" s="56" t="n"/>
      <c r="M39" s="166" t="n"/>
      <c r="N39" s="166" t="n"/>
      <c r="O39" s="166" t="n"/>
      <c r="P39" s="166" t="n"/>
      <c r="Q39" s="166" t="n"/>
      <c r="R39" s="168" t="n"/>
      <c r="S39" s="168" t="n"/>
      <c r="T39" s="168">
        <f>IF(Q39="","",Q39-C39)</f>
        <v/>
      </c>
      <c r="U39" s="168">
        <f>IF(OR(Q39="",D39=""),"",IF(D39&lt;Q39,"REVISAR FECHA",D39-Q39))</f>
        <v/>
      </c>
      <c r="V39" s="168">
        <f>IF(D39="","",IF(D39&lt;C39,"REVISAR FECHA",D39-C39))</f>
        <v/>
      </c>
      <c r="W39" s="168" t="n">
        <v>109</v>
      </c>
      <c r="X39" s="84">
        <f>IF(H39="VENDIDO","CERRADO",IF(W39="","",IF(W39&gt;120,"CRÍTICO",IF(W39&gt;90,"ALERTA",IF(W39&gt;60,"REVISAR","NORMAL")))))</f>
        <v/>
      </c>
      <c r="Y39">
        <f>IF(D39="","",TEXT(D39,"mmmm yyyy"))</f>
        <v/>
      </c>
      <c r="Z39">
        <f>IF(B39="LOCAL","LOCAL","LOTE")</f>
        <v/>
      </c>
    </row>
    <row r="40" ht="15.6" customHeight="1" s="170">
      <c r="A40" s="107" t="n">
        <v>36</v>
      </c>
      <c r="B40" s="23" t="n">
        <v>96814985</v>
      </c>
      <c r="C40" s="79" t="n">
        <v>46090</v>
      </c>
      <c r="D40" s="80" t="n"/>
      <c r="E40" s="12" t="inlineStr">
        <is>
          <t>MAZDA</t>
        </is>
      </c>
      <c r="F40" s="13" t="inlineStr">
        <is>
          <t>CX-9 GRAND TOURING</t>
        </is>
      </c>
      <c r="G40" s="117" t="n">
        <v>2019</v>
      </c>
      <c r="H40" s="94" t="inlineStr">
        <is>
          <t>REPARACION</t>
        </is>
      </c>
      <c r="I40" s="43" t="inlineStr">
        <is>
          <t>TALLER COCO</t>
        </is>
      </c>
      <c r="J40" s="6" t="n"/>
      <c r="K40" s="6" t="n"/>
      <c r="L40" s="56" t="n"/>
      <c r="M40" s="166" t="n"/>
      <c r="N40" s="166" t="n"/>
      <c r="O40" s="166" t="n"/>
      <c r="P40" s="166" t="n"/>
      <c r="Q40" s="166" t="n"/>
      <c r="R40" s="168" t="n"/>
      <c r="S40" s="168" t="n"/>
      <c r="T40" s="168">
        <f>IF(Q40="","",Q40-C40)</f>
        <v/>
      </c>
      <c r="U40" s="168">
        <f>IF(OR(Q40="",D40=""),"",IF(D40&lt;Q40,"REVISAR FECHA",D40-Q40))</f>
        <v/>
      </c>
      <c r="V40" s="168">
        <f>IF(D40="","",IF(D40&lt;C40,"REVISAR FECHA",D40-C40))</f>
        <v/>
      </c>
      <c r="W40" s="168" t="n">
        <v>96</v>
      </c>
      <c r="X40" s="84">
        <f>IF(H40="VENDIDO","CERRADO",IF(W40="","",IF(W40&gt;120,"CRÍTICO",IF(W40&gt;90,"ALERTA",IF(W40&gt;60,"REVISAR","NORMAL")))))</f>
        <v/>
      </c>
      <c r="Y40">
        <f>IF(D40="","",TEXT(D40,"mmmm yyyy"))</f>
        <v/>
      </c>
      <c r="Z40">
        <f>IF(B40="LOCAL","LOCAL","LOTE")</f>
        <v/>
      </c>
    </row>
    <row r="41" ht="15.6" customHeight="1" s="170">
      <c r="A41" s="107" t="n">
        <v>37</v>
      </c>
      <c r="B41" s="23" t="n">
        <v>97933025</v>
      </c>
      <c r="C41" s="79" t="n">
        <v>46090</v>
      </c>
      <c r="D41" s="80" t="n"/>
      <c r="E41" s="12" t="inlineStr">
        <is>
          <t>NISSAN</t>
        </is>
      </c>
      <c r="F41" s="13" t="inlineStr">
        <is>
          <t>ROGUE SPORT</t>
        </is>
      </c>
      <c r="G41" s="117" t="n">
        <v>2019</v>
      </c>
      <c r="H41" s="90" t="inlineStr">
        <is>
          <t>LEGALIZACION</t>
        </is>
      </c>
      <c r="I41" s="43" t="inlineStr">
        <is>
          <t>ESPERANDO CITA DE EXPERTICIE</t>
        </is>
      </c>
      <c r="J41" s="6" t="n"/>
      <c r="K41" s="6" t="n"/>
      <c r="L41" s="56" t="n"/>
      <c r="M41" s="166" t="n"/>
      <c r="N41" s="166" t="n"/>
      <c r="O41" s="166" t="n"/>
      <c r="P41" s="166" t="n"/>
      <c r="Q41" s="166" t="n"/>
      <c r="R41" s="168" t="n"/>
      <c r="S41" s="168" t="n"/>
      <c r="T41" s="168">
        <f>IF(Q41="","",Q41-C41)</f>
        <v/>
      </c>
      <c r="U41" s="168">
        <f>IF(OR(Q41="",D41=""),"",IF(D41&lt;Q41,"REVISAR FECHA",D41-Q41))</f>
        <v/>
      </c>
      <c r="V41" s="168">
        <f>IF(D41="","",IF(D41&lt;C41,"REVISAR FECHA",D41-C41))</f>
        <v/>
      </c>
      <c r="W41" s="168" t="n">
        <v>96</v>
      </c>
      <c r="X41" s="84">
        <f>IF(H41="VENDIDO","CERRADO",IF(W41="","",IF(W41&gt;120,"CRÍTICO",IF(W41&gt;90,"ALERTA",IF(W41&gt;60,"REVISAR","NORMAL")))))</f>
        <v/>
      </c>
      <c r="Y41">
        <f>IF(D41="","",TEXT(D41,"mmmm yyyy"))</f>
        <v/>
      </c>
      <c r="Z41">
        <f>IF(B41="LOCAL","LOCAL","LOTE")</f>
        <v/>
      </c>
    </row>
    <row r="42" ht="15.6" customHeight="1" s="170">
      <c r="A42" s="107" t="n">
        <v>38</v>
      </c>
      <c r="B42" s="23" t="n">
        <v>78140565</v>
      </c>
      <c r="C42" s="79" t="n">
        <v>46090</v>
      </c>
      <c r="D42" s="80" t="n">
        <v>46177</v>
      </c>
      <c r="E42" s="12" t="inlineStr">
        <is>
          <t>NISSAN</t>
        </is>
      </c>
      <c r="F42" s="13" t="inlineStr">
        <is>
          <t>VERSA SV</t>
        </is>
      </c>
      <c r="G42" s="117" t="n">
        <v>2021</v>
      </c>
      <c r="H42" s="95" t="inlineStr">
        <is>
          <t>VENDIDO</t>
        </is>
      </c>
      <c r="I42" s="45" t="inlineStr">
        <is>
          <t>VENDIDO AL CONTADO</t>
        </is>
      </c>
      <c r="J42" s="6" t="n"/>
      <c r="K42" s="6" t="n"/>
      <c r="L42" s="56" t="n"/>
      <c r="M42" s="166" t="n"/>
      <c r="N42" s="166" t="n"/>
      <c r="O42" s="166" t="n"/>
      <c r="P42" s="166" t="n"/>
      <c r="Q42" s="166" t="n"/>
      <c r="R42" s="168" t="n"/>
      <c r="S42" s="168" t="n"/>
      <c r="T42" s="168">
        <f>IF(Q42="","",Q42-C42)</f>
        <v/>
      </c>
      <c r="U42" s="168">
        <f>IF(OR(Q42="",D42=""),"",IF(D42&lt;Q42,"REVISAR FECHA",D42-Q42))</f>
        <v/>
      </c>
      <c r="V42" s="168">
        <f>IF(D42="","",IF(D42&lt;C42,"REVISAR FECHA",D42-C42))</f>
        <v/>
      </c>
      <c r="W42" s="168" t="n"/>
      <c r="X42" s="84">
        <f>IF(H42="VENDIDO","CERRADO",IF(W42="","",IF(W42&gt;120,"CRÍTICO",IF(W42&gt;90,"ALERTA",IF(W42&gt;60,"REVISAR","NORMAL")))))</f>
        <v/>
      </c>
      <c r="Y42">
        <f>IF(D42="","",TEXT(D42,"mmmm yyyy"))</f>
        <v/>
      </c>
      <c r="Z42">
        <f>IF(B42="LOCAL","LOCAL","LOTE")</f>
        <v/>
      </c>
    </row>
    <row r="43" ht="15.6" customHeight="1" s="170">
      <c r="A43" s="107" t="n">
        <v>39</v>
      </c>
      <c r="B43" s="23" t="n">
        <v>92667555</v>
      </c>
      <c r="C43" s="79" t="n">
        <v>46097</v>
      </c>
      <c r="D43" s="80" t="n"/>
      <c r="E43" s="12" t="inlineStr">
        <is>
          <t>HYUNDAI</t>
        </is>
      </c>
      <c r="F43" s="13" t="inlineStr">
        <is>
          <t>ELANTRA SEL</t>
        </is>
      </c>
      <c r="G43" s="117" t="n">
        <v>2019</v>
      </c>
      <c r="H43" s="94" t="inlineStr">
        <is>
          <t>DISPONIBLE VENTA</t>
        </is>
      </c>
      <c r="I43" s="43" t="inlineStr">
        <is>
          <t>LISTO PARA LA VENTA</t>
        </is>
      </c>
      <c r="J43" s="6" t="n"/>
      <c r="K43" s="6" t="n"/>
      <c r="L43" s="56" t="n"/>
      <c r="M43" s="166" t="n"/>
      <c r="N43" s="166" t="n"/>
      <c r="O43" s="166" t="n"/>
      <c r="P43" s="166" t="n"/>
      <c r="Q43" s="166" t="n"/>
      <c r="R43" s="168" t="n"/>
      <c r="S43" s="168" t="n"/>
      <c r="T43" s="168">
        <f>IF(Q43="","",Q43-C43)</f>
        <v/>
      </c>
      <c r="U43" s="168">
        <f>IF(OR(Q43="",D43=""),"",IF(D43&lt;Q43,"REVISAR FECHA",D43-Q43))</f>
        <v/>
      </c>
      <c r="V43" s="168">
        <f>IF(D43="","",IF(D43&lt;C43,"REVISAR FECHA",D43-C43))</f>
        <v/>
      </c>
      <c r="W43" s="168" t="n">
        <v>89</v>
      </c>
      <c r="X43" s="84">
        <f>IF(H43="VENDIDO","CERRADO",IF(W43="","",IF(W43&gt;120,"CRÍTICO",IF(W43&gt;90,"ALERTA",IF(W43&gt;60,"REVISAR","NORMAL")))))</f>
        <v/>
      </c>
      <c r="Y43">
        <f>IF(D43="","",TEXT(D43,"mmmm yyyy"))</f>
        <v/>
      </c>
      <c r="Z43">
        <f>IF(B43="LOCAL","LOCAL","LOTE")</f>
        <v/>
      </c>
    </row>
    <row r="44" ht="15.6" customHeight="1" s="170">
      <c r="A44" s="107" t="n">
        <v>40</v>
      </c>
      <c r="B44" s="23" t="n">
        <v>79773935</v>
      </c>
      <c r="C44" s="79" t="n">
        <v>46097</v>
      </c>
      <c r="D44" s="80" t="n"/>
      <c r="E44" s="12" t="inlineStr">
        <is>
          <t>KIA</t>
        </is>
      </c>
      <c r="F44" s="13" t="inlineStr">
        <is>
          <t>SOUL BASE</t>
        </is>
      </c>
      <c r="G44" s="117" t="n">
        <v>2019</v>
      </c>
      <c r="H44" s="90" t="inlineStr">
        <is>
          <t>LEGALIZACION</t>
        </is>
      </c>
      <c r="I44" s="46" t="inlineStr">
        <is>
          <t>ESPERANDO CITA EXPERTICIE</t>
        </is>
      </c>
      <c r="J44" s="6" t="n"/>
      <c r="K44" s="6" t="n"/>
      <c r="L44" s="56" t="n"/>
      <c r="M44" s="166" t="n"/>
      <c r="N44" s="166" t="n"/>
      <c r="O44" s="166" t="n"/>
      <c r="P44" s="166" t="n"/>
      <c r="Q44" s="166" t="n"/>
      <c r="R44" s="168" t="n"/>
      <c r="S44" s="168" t="n"/>
      <c r="T44" s="168">
        <f>IF(Q44="","",Q44-C44)</f>
        <v/>
      </c>
      <c r="U44" s="168">
        <f>IF(OR(Q44="",D44=""),"",IF(D44&lt;Q44,"REVISAR FECHA",D44-Q44))</f>
        <v/>
      </c>
      <c r="V44" s="168">
        <f>IF(D44="","",IF(D44&lt;C44,"REVISAR FECHA",D44-C44))</f>
        <v/>
      </c>
      <c r="W44" s="168" t="n">
        <v>89</v>
      </c>
      <c r="X44" s="84">
        <f>IF(H44="VENDIDO","CERRADO",IF(W44="","",IF(W44&gt;120,"CRÍTICO",IF(W44&gt;90,"ALERTA",IF(W44&gt;60,"REVISAR","NORMAL")))))</f>
        <v/>
      </c>
      <c r="Y44">
        <f>IF(D44="","",TEXT(D44,"mmmm yyyy"))</f>
        <v/>
      </c>
      <c r="Z44">
        <f>IF(B44="LOCAL","LOCAL","LOTE")</f>
        <v/>
      </c>
    </row>
    <row r="45" ht="15.6" customHeight="1" s="170">
      <c r="A45" s="107" t="n">
        <v>41</v>
      </c>
      <c r="B45" s="23" t="n">
        <v>77138085</v>
      </c>
      <c r="C45" s="79" t="n">
        <v>46097</v>
      </c>
      <c r="D45" s="80" t="n"/>
      <c r="E45" s="12" t="inlineStr">
        <is>
          <t>HYUNDAI</t>
        </is>
      </c>
      <c r="F45" s="13" t="inlineStr">
        <is>
          <t>ELANTRA SEL</t>
        </is>
      </c>
      <c r="G45" s="117" t="n">
        <v>2022</v>
      </c>
      <c r="H45" s="94" t="inlineStr">
        <is>
          <t>REPARACION</t>
        </is>
      </c>
      <c r="I45" s="46" t="inlineStr">
        <is>
          <t>TALLER MANUEL</t>
        </is>
      </c>
      <c r="J45" s="6" t="n"/>
      <c r="K45" s="6" t="n"/>
      <c r="L45" s="56" t="n"/>
      <c r="M45" s="166" t="n"/>
      <c r="N45" s="166" t="n"/>
      <c r="O45" s="166" t="n"/>
      <c r="P45" s="166" t="n"/>
      <c r="Q45" s="166" t="n"/>
      <c r="R45" s="168" t="n"/>
      <c r="S45" s="168" t="n"/>
      <c r="T45" s="168">
        <f>IF(Q45="","",Q45-C45)</f>
        <v/>
      </c>
      <c r="U45" s="168">
        <f>IF(OR(Q45="",D45=""),"",IF(D45&lt;Q45,"REVISAR FECHA",D45-Q45))</f>
        <v/>
      </c>
      <c r="V45" s="168">
        <f>IF(D45="","",IF(D45&lt;C45,"REVISAR FECHA",D45-C45))</f>
        <v/>
      </c>
      <c r="W45" s="168" t="n">
        <v>89</v>
      </c>
      <c r="X45" s="84">
        <f>IF(H45="VENDIDO","CERRADO",IF(W45="","",IF(W45&gt;120,"CRÍTICO",IF(W45&gt;90,"ALERTA",IF(W45&gt;60,"REVISAR","NORMAL")))))</f>
        <v/>
      </c>
      <c r="Y45">
        <f>IF(D45="","",TEXT(D45,"mmmm yyyy"))</f>
        <v/>
      </c>
      <c r="Z45">
        <f>IF(B45="LOCAL","LOCAL","LOTE")</f>
        <v/>
      </c>
    </row>
    <row r="46" ht="15.6" customHeight="1" s="170">
      <c r="A46" s="107" t="n">
        <v>42</v>
      </c>
      <c r="B46" s="23" t="n">
        <v>96800565</v>
      </c>
      <c r="C46" s="79" t="n">
        <v>46098</v>
      </c>
      <c r="D46" s="80" t="n"/>
      <c r="E46" s="12" t="inlineStr">
        <is>
          <t>NISSAN</t>
        </is>
      </c>
      <c r="F46" s="13" t="inlineStr">
        <is>
          <t>SENTRA SV</t>
        </is>
      </c>
      <c r="G46" s="117" t="n">
        <v>2020</v>
      </c>
      <c r="H46" s="89" t="inlineStr">
        <is>
          <t>REPARACION</t>
        </is>
      </c>
      <c r="I46" s="47" t="inlineStr">
        <is>
          <t>TALLER KEVIN RAMIREZ</t>
        </is>
      </c>
      <c r="J46" s="6" t="n"/>
      <c r="K46" s="6" t="n"/>
      <c r="L46" s="56" t="n"/>
      <c r="M46" s="166" t="n"/>
      <c r="N46" s="166" t="n"/>
      <c r="O46" s="166" t="n"/>
      <c r="P46" s="166" t="n"/>
      <c r="Q46" s="166" t="n"/>
      <c r="R46" s="168" t="n"/>
      <c r="S46" s="168" t="n"/>
      <c r="T46" s="168">
        <f>IF(Q46="","",Q46-C46)</f>
        <v/>
      </c>
      <c r="U46" s="168">
        <f>IF(OR(Q46="",D46=""),"",IF(D46&lt;Q46,"REVISAR FECHA",D46-Q46))</f>
        <v/>
      </c>
      <c r="V46" s="168">
        <f>IF(D46="","",IF(D46&lt;C46,"REVISAR FECHA",D46-C46))</f>
        <v/>
      </c>
      <c r="W46" s="168" t="n">
        <v>88</v>
      </c>
      <c r="X46" s="84">
        <f>IF(H46="VENDIDO","CERRADO",IF(W46="","",IF(W46&gt;120,"CRÍTICO",IF(W46&gt;90,"ALERTA",IF(W46&gt;60,"REVISAR","NORMAL")))))</f>
        <v/>
      </c>
      <c r="Y46">
        <f>IF(D46="","",TEXT(D46,"mmmm yyyy"))</f>
        <v/>
      </c>
      <c r="Z46">
        <f>IF(B46="LOCAL","LOCAL","LOTE")</f>
        <v/>
      </c>
    </row>
    <row r="47" ht="15.6" customHeight="1" s="170">
      <c r="A47" s="107" t="n">
        <v>43</v>
      </c>
      <c r="B47" s="23" t="n">
        <v>79169315</v>
      </c>
      <c r="C47" s="79" t="n">
        <v>46099</v>
      </c>
      <c r="D47" s="80" t="n"/>
      <c r="E47" s="12" t="inlineStr">
        <is>
          <t>KIA</t>
        </is>
      </c>
      <c r="F47" s="13" t="inlineStr">
        <is>
          <t>SORENTO LX V6</t>
        </is>
      </c>
      <c r="G47" s="117" t="n">
        <v>2020</v>
      </c>
      <c r="H47" s="89" t="inlineStr">
        <is>
          <t>REPARACION</t>
        </is>
      </c>
      <c r="I47" s="46" t="n"/>
      <c r="J47" s="6" t="n"/>
      <c r="K47" s="6" t="n"/>
      <c r="L47" s="56" t="n"/>
      <c r="M47" s="166" t="n"/>
      <c r="N47" s="166" t="n"/>
      <c r="O47" s="166" t="n"/>
      <c r="P47" s="166" t="n"/>
      <c r="Q47" s="166" t="n"/>
      <c r="R47" s="168" t="n"/>
      <c r="S47" s="168" t="n"/>
      <c r="T47" s="168">
        <f>IF(Q47="","",Q47-C47)</f>
        <v/>
      </c>
      <c r="U47" s="168">
        <f>IF(OR(Q47="",D47=""),"",IF(D47&lt;Q47,"REVISAR FECHA",D47-Q47))</f>
        <v/>
      </c>
      <c r="V47" s="168">
        <f>IF(D47="","",IF(D47&lt;C47,"REVISAR FECHA",D47-C47))</f>
        <v/>
      </c>
      <c r="W47" s="168" t="n">
        <v>87</v>
      </c>
      <c r="X47" s="84">
        <f>IF(H47="VENDIDO","CERRADO",IF(W47="","",IF(W47&gt;120,"CRÍTICO",IF(W47&gt;90,"ALERTA",IF(W47&gt;60,"REVISAR","NORMAL")))))</f>
        <v/>
      </c>
      <c r="Y47">
        <f>IF(D47="","",TEXT(D47,"mmmm yyyy"))</f>
        <v/>
      </c>
      <c r="Z47">
        <f>IF(B47="LOCAL","LOCAL","LOTE")</f>
        <v/>
      </c>
    </row>
    <row r="48" ht="15.6" customHeight="1" s="170">
      <c r="A48" s="108" t="n">
        <v>44</v>
      </c>
      <c r="B48" s="24" t="n">
        <v>77514225</v>
      </c>
      <c r="C48" s="79" t="n">
        <v>46099</v>
      </c>
      <c r="D48" s="81" t="n"/>
      <c r="E48" s="12" t="inlineStr">
        <is>
          <t>HYUNDAI</t>
        </is>
      </c>
      <c r="F48" s="13" t="inlineStr">
        <is>
          <t>ACCENT LIMITED</t>
        </is>
      </c>
      <c r="G48" s="119" t="n">
        <v>2019</v>
      </c>
      <c r="H48" s="90" t="inlineStr">
        <is>
          <t>DISPONIBLE VENTA</t>
        </is>
      </c>
      <c r="I48" s="46" t="inlineStr">
        <is>
          <t>LISTO PARA LA VENTA</t>
        </is>
      </c>
      <c r="J48" s="6" t="n"/>
      <c r="K48" s="6" t="n"/>
      <c r="L48" s="56" t="n"/>
      <c r="M48" s="166" t="n"/>
      <c r="N48" s="166" t="n"/>
      <c r="O48" s="166" t="n"/>
      <c r="P48" s="166" t="n"/>
      <c r="Q48" s="166" t="n"/>
      <c r="R48" s="168" t="n"/>
      <c r="S48" s="168" t="n"/>
      <c r="T48" s="168">
        <f>IF(Q48="","",Q48-C48)</f>
        <v/>
      </c>
      <c r="U48" s="168">
        <f>IF(OR(Q48="",D48=""),"",IF(D48&lt;Q48,"REVISAR FECHA",D48-Q48))</f>
        <v/>
      </c>
      <c r="V48" s="168">
        <f>IF(D48="","",IF(D48&lt;C48,"REVISAR FECHA",D48-C48))</f>
        <v/>
      </c>
      <c r="W48" s="168" t="n">
        <v>87</v>
      </c>
      <c r="X48" s="84">
        <f>IF(H48="VENDIDO","CERRADO",IF(W48="","",IF(W48&gt;120,"CRÍTICO",IF(W48&gt;90,"ALERTA",IF(W48&gt;60,"REVISAR","NORMAL")))))</f>
        <v/>
      </c>
      <c r="Y48">
        <f>IF(D48="","",TEXT(D48,"mmmm yyyy"))</f>
        <v/>
      </c>
      <c r="Z48">
        <f>IF(B48="LOCAL","LOCAL","LOTE")</f>
        <v/>
      </c>
    </row>
    <row r="49" ht="15.6" customHeight="1" s="170">
      <c r="A49" s="102" t="n">
        <v>45</v>
      </c>
      <c r="B49" s="24" t="n">
        <v>76048175</v>
      </c>
      <c r="C49" s="79" t="n">
        <v>46119</v>
      </c>
      <c r="D49" s="82" t="n"/>
      <c r="E49" s="12" t="inlineStr">
        <is>
          <t>NISSAN</t>
        </is>
      </c>
      <c r="F49" s="13" t="inlineStr">
        <is>
          <t>VERSA S</t>
        </is>
      </c>
      <c r="G49" s="119" t="n">
        <v>2025</v>
      </c>
      <c r="H49" s="89" t="inlineStr">
        <is>
          <t>REPARACION</t>
        </is>
      </c>
      <c r="I49" s="47" t="n"/>
      <c r="J49" s="6" t="n"/>
      <c r="K49" s="6" t="n"/>
      <c r="L49" s="56" t="n"/>
      <c r="M49" s="166" t="n"/>
      <c r="N49" s="166" t="n"/>
      <c r="O49" s="166" t="n"/>
      <c r="P49" s="166" t="n"/>
      <c r="Q49" s="166" t="n"/>
      <c r="R49" s="168" t="n"/>
      <c r="S49" s="168" t="n"/>
      <c r="T49" s="168">
        <f>IF(Q49="","",Q49-C49)</f>
        <v/>
      </c>
      <c r="U49" s="168">
        <f>IF(OR(Q49="",D49=""),"",IF(D49&lt;Q49,"REVISAR FECHA",D49-Q49))</f>
        <v/>
      </c>
      <c r="V49" s="168">
        <f>IF(D49="","",IF(D49&lt;C49,"REVISAR FECHA",D49-C49))</f>
        <v/>
      </c>
      <c r="W49" s="168" t="n">
        <v>67</v>
      </c>
      <c r="X49" s="84">
        <f>IF(H49="VENDIDO","CERRADO",IF(W49="","",IF(W49&gt;120,"CRÍTICO",IF(W49&gt;90,"ALERTA",IF(W49&gt;60,"REVISAR","NORMAL")))))</f>
        <v/>
      </c>
      <c r="Y49">
        <f>IF(D49="","",TEXT(D49,"mmmm yyyy"))</f>
        <v/>
      </c>
      <c r="Z49">
        <f>IF(B49="LOCAL","LOCAL","LOTE")</f>
        <v/>
      </c>
    </row>
    <row r="50" ht="15.6" customHeight="1" s="170">
      <c r="A50" s="108" t="n">
        <v>46</v>
      </c>
      <c r="B50" s="24" t="n">
        <v>79966335</v>
      </c>
      <c r="C50" s="79" t="n">
        <v>46119</v>
      </c>
      <c r="D50" s="81" t="n"/>
      <c r="E50" s="12" t="inlineStr">
        <is>
          <t>CHEVROLET</t>
        </is>
      </c>
      <c r="F50" s="13" t="inlineStr">
        <is>
          <t>SPARK 1LT</t>
        </is>
      </c>
      <c r="G50" s="119" t="n">
        <v>2020</v>
      </c>
      <c r="H50" s="52" t="inlineStr">
        <is>
          <t>ADUANA</t>
        </is>
      </c>
      <c r="I50" s="47" t="inlineStr">
        <is>
          <t>SAN BARTOLO</t>
        </is>
      </c>
      <c r="J50" s="6" t="n"/>
      <c r="K50" s="6" t="n"/>
      <c r="L50" s="56" t="n"/>
      <c r="M50" s="166" t="n"/>
      <c r="N50" s="166" t="n"/>
      <c r="O50" s="166" t="n"/>
      <c r="P50" s="166" t="n"/>
      <c r="Q50" s="166" t="n"/>
      <c r="R50" s="168" t="n"/>
      <c r="S50" s="168" t="n"/>
      <c r="T50" s="168">
        <f>IF(Q50="","",Q50-C50)</f>
        <v/>
      </c>
      <c r="U50" s="168">
        <f>IF(OR(Q50="",D50=""),"",IF(D50&lt;Q50,"REVISAR FECHA",D50-Q50))</f>
        <v/>
      </c>
      <c r="V50" s="168">
        <f>IF(D50="","",IF(D50&lt;C50,"REVISAR FECHA",D50-C50))</f>
        <v/>
      </c>
      <c r="W50" s="168" t="n">
        <v>67</v>
      </c>
      <c r="X50" s="84">
        <f>IF(H50="VENDIDO","CERRADO",IF(W50="","",IF(W50&gt;120,"CRÍTICO",IF(W50&gt;90,"ALERTA",IF(W50&gt;60,"REVISAR","NORMAL")))))</f>
        <v/>
      </c>
      <c r="Y50">
        <f>IF(D50="","",TEXT(D50,"mmmm yyyy"))</f>
        <v/>
      </c>
      <c r="Z50">
        <f>IF(B50="LOCAL","LOCAL","LOTE")</f>
        <v/>
      </c>
    </row>
    <row r="51" ht="15.6" customHeight="1" s="170">
      <c r="A51" s="108" t="n">
        <v>47</v>
      </c>
      <c r="B51" s="24" t="n">
        <v>79754765</v>
      </c>
      <c r="C51" s="79" t="n">
        <v>46120</v>
      </c>
      <c r="D51" s="81" t="n"/>
      <c r="E51" s="12" t="inlineStr">
        <is>
          <t>MITSUBISHI</t>
        </is>
      </c>
      <c r="F51" s="13" t="inlineStr">
        <is>
          <t>MIRAGE G4 ES</t>
        </is>
      </c>
      <c r="G51" s="119" t="n">
        <v>2019</v>
      </c>
      <c r="H51" s="52" t="inlineStr">
        <is>
          <t>TRANSITO</t>
        </is>
      </c>
      <c r="I51" s="47" t="inlineStr">
        <is>
          <t>USA-ESV</t>
        </is>
      </c>
      <c r="J51" s="6" t="n"/>
      <c r="K51" s="6" t="n"/>
      <c r="L51" s="56" t="n"/>
      <c r="M51" s="166" t="n"/>
      <c r="N51" s="166" t="n"/>
      <c r="O51" s="166" t="n"/>
      <c r="P51" s="166" t="n"/>
      <c r="Q51" s="166" t="n"/>
      <c r="R51" s="168" t="n"/>
      <c r="S51" s="168" t="n"/>
      <c r="T51" s="168">
        <f>IF(Q51="","",Q51-C51)</f>
        <v/>
      </c>
      <c r="U51" s="168">
        <f>IF(OR(Q51="",D51=""),"",IF(D51&lt;Q51,"REVISAR FECHA",D51-Q51))</f>
        <v/>
      </c>
      <c r="V51" s="168">
        <f>IF(D51="","",IF(D51&lt;C51,"REVISAR FECHA",D51-C51))</f>
        <v/>
      </c>
      <c r="W51" s="168" t="n">
        <v>66</v>
      </c>
      <c r="X51" s="84">
        <f>IF(H51="VENDIDO","CERRADO",IF(W51="","",IF(W51&gt;120,"CRÍTICO",IF(W51&gt;90,"ALERTA",IF(W51&gt;60,"REVISAR","NORMAL")))))</f>
        <v/>
      </c>
      <c r="Y51">
        <f>IF(D51="","",TEXT(D51,"mmmm yyyy"))</f>
        <v/>
      </c>
      <c r="Z51">
        <f>IF(B51="LOCAL","LOCAL","LOTE")</f>
        <v/>
      </c>
    </row>
    <row r="52" ht="15.6" customHeight="1" s="170">
      <c r="A52" s="108" t="n">
        <v>48</v>
      </c>
      <c r="B52" s="24" t="n">
        <v>79257455</v>
      </c>
      <c r="C52" s="79" t="n">
        <v>46121</v>
      </c>
      <c r="D52" s="81" t="n"/>
      <c r="E52" s="12" t="inlineStr">
        <is>
          <t>NISSAN</t>
        </is>
      </c>
      <c r="F52" s="13" t="inlineStr">
        <is>
          <t>SENTRA S</t>
        </is>
      </c>
      <c r="G52" s="119" t="n">
        <v>2019</v>
      </c>
      <c r="H52" s="89" t="inlineStr">
        <is>
          <t>REPARACION</t>
        </is>
      </c>
      <c r="I52" s="47" t="inlineStr">
        <is>
          <t>TALLER KEVIN RAMIREZ</t>
        </is>
      </c>
      <c r="J52" s="6" t="n"/>
      <c r="K52" s="6" t="n"/>
      <c r="L52" s="56" t="n"/>
      <c r="M52" s="166" t="n"/>
      <c r="N52" s="166" t="n"/>
      <c r="O52" s="166" t="n"/>
      <c r="P52" s="166" t="n"/>
      <c r="Q52" s="166" t="n"/>
      <c r="R52" s="168" t="n"/>
      <c r="S52" s="168" t="n"/>
      <c r="T52" s="168">
        <f>IF(Q52="","",Q52-C52)</f>
        <v/>
      </c>
      <c r="U52" s="168">
        <f>IF(OR(Q52="",D52=""),"",IF(D52&lt;Q52,"REVISAR FECHA",D52-Q52))</f>
        <v/>
      </c>
      <c r="V52" s="168">
        <f>IF(D52="","",IF(D52&lt;C52,"REVISAR FECHA",D52-C52))</f>
        <v/>
      </c>
      <c r="W52" s="168" t="n">
        <v>65</v>
      </c>
      <c r="X52" s="84">
        <f>IF(H52="VENDIDO","CERRADO",IF(W52="","",IF(W52&gt;120,"CRÍTICO",IF(W52&gt;90,"ALERTA",IF(W52&gt;60,"REVISAR","NORMAL")))))</f>
        <v/>
      </c>
      <c r="Y52">
        <f>IF(D52="","",TEXT(D52,"mmmm yyyy"))</f>
        <v/>
      </c>
      <c r="Z52">
        <f>IF(B52="LOCAL","LOCAL","LOTE")</f>
        <v/>
      </c>
    </row>
    <row r="53" ht="15.6" customHeight="1" s="170">
      <c r="A53" s="108" t="n">
        <v>49</v>
      </c>
      <c r="B53" s="24" t="n">
        <v>45446786</v>
      </c>
      <c r="C53" s="79" t="n">
        <v>46121</v>
      </c>
      <c r="D53" s="81" t="n"/>
      <c r="E53" s="12" t="inlineStr">
        <is>
          <t>KIA</t>
        </is>
      </c>
      <c r="F53" s="13" t="inlineStr">
        <is>
          <t>FORTE LXS</t>
        </is>
      </c>
      <c r="G53" s="119" t="n">
        <v>2019</v>
      </c>
      <c r="H53" s="52" t="inlineStr">
        <is>
          <t>TRANSITO</t>
        </is>
      </c>
      <c r="I53" s="47" t="inlineStr">
        <is>
          <t>USA-ESV</t>
        </is>
      </c>
      <c r="J53" s="6" t="n"/>
      <c r="K53" s="6" t="n"/>
      <c r="L53" s="56" t="n"/>
      <c r="M53" s="166" t="n"/>
      <c r="N53" s="166" t="n"/>
      <c r="O53" s="166" t="n"/>
      <c r="P53" s="166" t="n"/>
      <c r="Q53" s="166" t="n"/>
      <c r="R53" s="168" t="n"/>
      <c r="S53" s="168" t="n"/>
      <c r="T53" s="168">
        <f>IF(Q53="","",Q53-C53)</f>
        <v/>
      </c>
      <c r="U53" s="168">
        <f>IF(OR(Q53="",D53=""),"",IF(D53&lt;Q53,"REVISAR FECHA",D53-Q53))</f>
        <v/>
      </c>
      <c r="V53" s="168">
        <f>IF(D53="","",IF(D53&lt;C53,"REVISAR FECHA",D53-C53))</f>
        <v/>
      </c>
      <c r="W53" s="168" t="n">
        <v>65</v>
      </c>
      <c r="X53" s="84">
        <f>IF(H53="VENDIDO","CERRADO",IF(W53="","",IF(W53&gt;120,"CRÍTICO",IF(W53&gt;90,"ALERTA",IF(W53&gt;60,"REVISAR","NORMAL")))))</f>
        <v/>
      </c>
      <c r="Y53">
        <f>IF(D53="","",TEXT(D53,"mmmm yyyy"))</f>
        <v/>
      </c>
      <c r="Z53">
        <f>IF(B53="LOCAL","LOCAL","LOTE")</f>
        <v/>
      </c>
    </row>
    <row r="54" ht="15.6" customHeight="1" s="170">
      <c r="A54" s="108" t="n">
        <v>50</v>
      </c>
      <c r="B54" s="24" t="n">
        <v>79469085</v>
      </c>
      <c r="C54" s="79" t="n">
        <v>46121</v>
      </c>
      <c r="D54" s="81" t="n"/>
      <c r="E54" s="12" t="inlineStr">
        <is>
          <t>KIA</t>
        </is>
      </c>
      <c r="F54" s="13" t="inlineStr">
        <is>
          <t>FORTE LXS</t>
        </is>
      </c>
      <c r="G54" s="119" t="n">
        <v>2019</v>
      </c>
      <c r="H54" s="52" t="inlineStr">
        <is>
          <t>TRANSITO</t>
        </is>
      </c>
      <c r="I54" s="47" t="inlineStr">
        <is>
          <t>USA-ESV</t>
        </is>
      </c>
      <c r="J54" s="6" t="n"/>
      <c r="K54" s="6" t="n"/>
      <c r="L54" s="56" t="n"/>
      <c r="M54" s="166" t="n"/>
      <c r="N54" s="166" t="n"/>
      <c r="O54" s="166" t="n"/>
      <c r="P54" s="166" t="n"/>
      <c r="Q54" s="166" t="n"/>
      <c r="R54" s="168" t="n"/>
      <c r="S54" s="168" t="n"/>
      <c r="T54" s="168">
        <f>IF(Q54="","",Q54-C54)</f>
        <v/>
      </c>
      <c r="U54" s="168">
        <f>IF(OR(Q54="",D54=""),"",IF(D54&lt;Q54,"REVISAR FECHA",D54-Q54))</f>
        <v/>
      </c>
      <c r="V54" s="168">
        <f>IF(D54="","",IF(D54&lt;C54,"REVISAR FECHA",D54-C54))</f>
        <v/>
      </c>
      <c r="W54" s="168" t="n">
        <v>65</v>
      </c>
      <c r="X54" s="84">
        <f>IF(H54="VENDIDO","CERRADO",IF(W54="","",IF(W54&gt;120,"CRÍTICO",IF(W54&gt;90,"ALERTA",IF(W54&gt;60,"REVISAR","NORMAL")))))</f>
        <v/>
      </c>
      <c r="Y54">
        <f>IF(D54="","",TEXT(D54,"mmmm yyyy"))</f>
        <v/>
      </c>
      <c r="Z54">
        <f>IF(B54="LOCAL","LOCAL","LOTE")</f>
        <v/>
      </c>
    </row>
    <row r="55" ht="15.6" customHeight="1" s="170">
      <c r="A55" s="108" t="n">
        <v>51</v>
      </c>
      <c r="B55" s="24" t="n">
        <v>72280635</v>
      </c>
      <c r="C55" s="79" t="n">
        <v>46122</v>
      </c>
      <c r="D55" s="81" t="n"/>
      <c r="E55" s="12" t="inlineStr">
        <is>
          <t>HYUNDAI</t>
        </is>
      </c>
      <c r="F55" s="13" t="inlineStr">
        <is>
          <t>ELANTRA SEL WHITE</t>
        </is>
      </c>
      <c r="G55" s="119" t="n">
        <v>2019</v>
      </c>
      <c r="H55" s="53" t="inlineStr">
        <is>
          <t>TRANSITO</t>
        </is>
      </c>
      <c r="I55" s="47" t="inlineStr">
        <is>
          <t>USA-ESV</t>
        </is>
      </c>
      <c r="J55" s="6" t="n"/>
      <c r="K55" s="6" t="n"/>
      <c r="L55" s="56" t="n"/>
      <c r="M55" s="166" t="n"/>
      <c r="N55" s="166" t="n"/>
      <c r="O55" s="166" t="n"/>
      <c r="P55" s="166" t="n"/>
      <c r="Q55" s="166" t="n"/>
      <c r="R55" s="168" t="n"/>
      <c r="S55" s="168" t="n"/>
      <c r="T55" s="168">
        <f>IF(Q55="","",Q55-C55)</f>
        <v/>
      </c>
      <c r="U55" s="168">
        <f>IF(OR(Q55="",D55=""),"",IF(D55&lt;Q55,"REVISAR FECHA",D55-Q55))</f>
        <v/>
      </c>
      <c r="V55" s="168">
        <f>IF(D55="","",IF(D55&lt;C55,"REVISAR FECHA",D55-C55))</f>
        <v/>
      </c>
      <c r="W55" s="168" t="n">
        <v>64</v>
      </c>
      <c r="X55" s="84">
        <f>IF(H55="VENDIDO","CERRADO",IF(W55="","",IF(W55&gt;120,"CRÍTICO",IF(W55&gt;90,"ALERTA",IF(W55&gt;60,"REVISAR","NORMAL")))))</f>
        <v/>
      </c>
      <c r="Y55">
        <f>IF(D55="","",TEXT(D55,"mmmm yyyy"))</f>
        <v/>
      </c>
      <c r="Z55">
        <f>IF(B55="LOCAL","LOCAL","LOTE")</f>
        <v/>
      </c>
    </row>
    <row r="56" ht="15.6" customHeight="1" s="170">
      <c r="A56" s="108" t="n">
        <v>52</v>
      </c>
      <c r="B56" s="24" t="n">
        <v>48641716</v>
      </c>
      <c r="C56" s="79" t="n">
        <v>46122</v>
      </c>
      <c r="D56" s="81" t="n"/>
      <c r="E56" s="12" t="inlineStr">
        <is>
          <t>KIA</t>
        </is>
      </c>
      <c r="F56" s="13" t="inlineStr">
        <is>
          <t>FORTE LXS</t>
        </is>
      </c>
      <c r="G56" s="119" t="n">
        <v>2019</v>
      </c>
      <c r="H56" s="94" t="inlineStr">
        <is>
          <t>REPARACION</t>
        </is>
      </c>
      <c r="I56" s="47" t="inlineStr">
        <is>
          <t>TALLER MANUEL</t>
        </is>
      </c>
      <c r="J56" s="6" t="n"/>
      <c r="K56" s="6" t="n"/>
      <c r="L56" s="56" t="n"/>
      <c r="M56" s="166" t="n"/>
      <c r="N56" s="166" t="n"/>
      <c r="O56" s="166" t="n"/>
      <c r="P56" s="166" t="n"/>
      <c r="Q56" s="166" t="n"/>
      <c r="R56" s="168" t="n"/>
      <c r="S56" s="168" t="n"/>
      <c r="T56" s="168">
        <f>IF(Q56="","",Q56-C56)</f>
        <v/>
      </c>
      <c r="U56" s="168">
        <f>IF(OR(Q56="",D56=""),"",IF(D56&lt;Q56,"REVISAR FECHA",D56-Q56))</f>
        <v/>
      </c>
      <c r="V56" s="168">
        <f>IF(D56="","",IF(D56&lt;C56,"REVISAR FECHA",D56-C56))</f>
        <v/>
      </c>
      <c r="W56" s="168" t="n">
        <v>64</v>
      </c>
      <c r="X56" s="84">
        <f>IF(H56="VENDIDO","CERRADO",IF(W56="","",IF(W56&gt;120,"CRÍTICO",IF(W56&gt;90,"ALERTA",IF(W56&gt;60,"REVISAR","NORMAL")))))</f>
        <v/>
      </c>
      <c r="Y56">
        <f>IF(D56="","",TEXT(D56,"mmmm yyyy"))</f>
        <v/>
      </c>
      <c r="Z56">
        <f>IF(B56="LOCAL","LOCAL","LOTE")</f>
        <v/>
      </c>
    </row>
    <row r="57" ht="15.6" customHeight="1" s="170">
      <c r="A57" s="108" t="n">
        <v>53</v>
      </c>
      <c r="B57" s="24" t="n">
        <v>47700856</v>
      </c>
      <c r="C57" s="79" t="n">
        <v>46122</v>
      </c>
      <c r="D57" s="81" t="n"/>
      <c r="E57" s="12" t="inlineStr">
        <is>
          <t>NISSAN</t>
        </is>
      </c>
      <c r="F57" s="13" t="inlineStr">
        <is>
          <t>SENTRA S</t>
        </is>
      </c>
      <c r="G57" s="119" t="n">
        <v>2019</v>
      </c>
      <c r="H57" s="94" t="inlineStr">
        <is>
          <t>REPARACION</t>
        </is>
      </c>
      <c r="I57" s="47" t="inlineStr">
        <is>
          <t>TALLER KEVIN RAMIREZ</t>
        </is>
      </c>
      <c r="J57" s="6" t="n"/>
      <c r="K57" s="6" t="n"/>
      <c r="L57" s="56" t="n"/>
      <c r="M57" s="166" t="n"/>
      <c r="N57" s="166" t="n"/>
      <c r="O57" s="166" t="n"/>
      <c r="P57" s="166" t="n"/>
      <c r="Q57" s="166" t="n"/>
      <c r="R57" s="168" t="n"/>
      <c r="S57" s="168" t="n"/>
      <c r="T57" s="168">
        <f>IF(Q57="","",Q57-C57)</f>
        <v/>
      </c>
      <c r="U57" s="168">
        <f>IF(OR(Q57="",D57=""),"",IF(D57&lt;Q57,"REVISAR FECHA",D57-Q57))</f>
        <v/>
      </c>
      <c r="V57" s="168">
        <f>IF(D57="","",IF(D57&lt;C57,"REVISAR FECHA",D57-C57))</f>
        <v/>
      </c>
      <c r="W57" s="168" t="n">
        <v>64</v>
      </c>
      <c r="X57" s="84">
        <f>IF(H57="VENDIDO","CERRADO",IF(W57="","",IF(W57&gt;120,"CRÍTICO",IF(W57&gt;90,"ALERTA",IF(W57&gt;60,"REVISAR","NORMAL")))))</f>
        <v/>
      </c>
      <c r="Y57">
        <f>IF(D57="","",TEXT(D57,"mmmm yyyy"))</f>
        <v/>
      </c>
      <c r="Z57">
        <f>IF(B57="LOCAL","LOCAL","LOTE")</f>
        <v/>
      </c>
    </row>
    <row r="58" ht="15.6" customHeight="1" s="170">
      <c r="A58" s="108" t="n">
        <v>54</v>
      </c>
      <c r="B58" s="24" t="n">
        <v>75036305</v>
      </c>
      <c r="C58" s="79" t="n">
        <v>46125</v>
      </c>
      <c r="D58" s="81" t="n"/>
      <c r="E58" s="12" t="inlineStr">
        <is>
          <t>FORD</t>
        </is>
      </c>
      <c r="F58" s="13" t="inlineStr">
        <is>
          <t>ESCAPE SE</t>
        </is>
      </c>
      <c r="G58" s="119" t="n">
        <v>2020</v>
      </c>
      <c r="H58" s="94" t="inlineStr">
        <is>
          <t>REPARACION</t>
        </is>
      </c>
      <c r="I58" s="47" t="inlineStr">
        <is>
          <t>TALLER VICTOR</t>
        </is>
      </c>
      <c r="J58" s="6" t="n"/>
      <c r="K58" s="6" t="n"/>
      <c r="L58" s="56" t="n"/>
      <c r="M58" s="166" t="n"/>
      <c r="N58" s="166" t="n"/>
      <c r="O58" s="166" t="n"/>
      <c r="P58" s="166" t="n"/>
      <c r="Q58" s="166" t="n"/>
      <c r="R58" s="168" t="n"/>
      <c r="S58" s="168" t="n"/>
      <c r="T58" s="168">
        <f>IF(Q58="","",Q58-C58)</f>
        <v/>
      </c>
      <c r="U58" s="168">
        <f>IF(OR(Q58="",D58=""),"",IF(D58&lt;Q58,"REVISAR FECHA",D58-Q58))</f>
        <v/>
      </c>
      <c r="V58" s="168">
        <f>IF(D58="","",IF(D58&lt;C58,"REVISAR FECHA",D58-C58))</f>
        <v/>
      </c>
      <c r="W58" s="168" t="n">
        <v>61</v>
      </c>
      <c r="X58" s="84">
        <f>IF(H58="VENDIDO","CERRADO",IF(W58="","",IF(W58&gt;120,"CRÍTICO",IF(W58&gt;90,"ALERTA",IF(W58&gt;60,"REVISAR","NORMAL")))))</f>
        <v/>
      </c>
      <c r="Y58">
        <f>IF(D58="","",TEXT(D58,"mmmm yyyy"))</f>
        <v/>
      </c>
      <c r="Z58">
        <f>IF(B58="LOCAL","LOCAL","LOTE")</f>
        <v/>
      </c>
    </row>
    <row r="59" ht="15.6" customHeight="1" s="170">
      <c r="A59" s="108" t="n">
        <v>55</v>
      </c>
      <c r="B59" s="24" t="n">
        <v>41792376</v>
      </c>
      <c r="C59" s="79" t="n">
        <v>46125</v>
      </c>
      <c r="D59" s="81" t="n"/>
      <c r="E59" s="12" t="inlineStr">
        <is>
          <t>CHEVROLET</t>
        </is>
      </c>
      <c r="F59" s="13" t="inlineStr">
        <is>
          <t>TRAX LS</t>
        </is>
      </c>
      <c r="G59" s="119" t="n">
        <v>2019</v>
      </c>
      <c r="H59" s="52" t="inlineStr">
        <is>
          <t>ADUANA</t>
        </is>
      </c>
      <c r="I59" s="47" t="inlineStr">
        <is>
          <t>SAN BARTOLO</t>
        </is>
      </c>
      <c r="J59" s="6" t="n"/>
      <c r="K59" s="6" t="n"/>
      <c r="L59" s="56" t="n"/>
      <c r="M59" s="166" t="n"/>
      <c r="N59" s="166" t="n"/>
      <c r="O59" s="166" t="n"/>
      <c r="P59" s="166" t="n"/>
      <c r="Q59" s="166" t="n"/>
      <c r="R59" s="168" t="n"/>
      <c r="S59" s="168" t="n"/>
      <c r="T59" s="168">
        <f>IF(Q59="","",Q59-C59)</f>
        <v/>
      </c>
      <c r="U59" s="168">
        <f>IF(OR(Q59="",D59=""),"",IF(D59&lt;Q59,"REVISAR FECHA",D59-Q59))</f>
        <v/>
      </c>
      <c r="V59" s="168">
        <f>IF(D59="","",IF(D59&lt;C59,"REVISAR FECHA",D59-C59))</f>
        <v/>
      </c>
      <c r="W59" s="168" t="n">
        <v>61</v>
      </c>
      <c r="X59" s="84">
        <f>IF(H59="VENDIDO","CERRADO",IF(W59="","",IF(W59&gt;120,"CRÍTICO",IF(W59&gt;90,"ALERTA",IF(W59&gt;60,"REVISAR","NORMAL")))))</f>
        <v/>
      </c>
      <c r="Y59">
        <f>IF(D59="","",TEXT(D59,"mmmm yyyy"))</f>
        <v/>
      </c>
      <c r="Z59">
        <f>IF(B59="LOCAL","LOCAL","LOTE")</f>
        <v/>
      </c>
    </row>
    <row r="60" ht="15.6" customHeight="1" s="170">
      <c r="A60" s="108" t="n">
        <v>56</v>
      </c>
      <c r="B60" s="24" t="n">
        <v>98497435</v>
      </c>
      <c r="C60" s="79" t="n">
        <v>46125</v>
      </c>
      <c r="D60" s="81" t="n"/>
      <c r="E60" s="12" t="inlineStr">
        <is>
          <t>KIA</t>
        </is>
      </c>
      <c r="F60" s="13" t="inlineStr">
        <is>
          <t>FORTE</t>
        </is>
      </c>
      <c r="G60" s="119" t="n">
        <v>2019</v>
      </c>
      <c r="H60" s="94" t="inlineStr">
        <is>
          <t>REPARACION</t>
        </is>
      </c>
      <c r="I60" s="47" t="inlineStr">
        <is>
          <t>TALLER MANUEL</t>
        </is>
      </c>
      <c r="J60" s="6" t="n"/>
      <c r="K60" s="6" t="n"/>
      <c r="L60" s="56" t="n"/>
      <c r="M60" s="166" t="n"/>
      <c r="N60" s="166" t="n"/>
      <c r="O60" s="166" t="n"/>
      <c r="P60" s="166" t="n"/>
      <c r="Q60" s="166" t="n"/>
      <c r="R60" s="168" t="n"/>
      <c r="S60" s="168" t="n"/>
      <c r="T60" s="168">
        <f>IF(Q60="","",Q60-C60)</f>
        <v/>
      </c>
      <c r="U60" s="168">
        <f>IF(OR(Q60="",D60=""),"",IF(D60&lt;Q60,"REVISAR FECHA",D60-Q60))</f>
        <v/>
      </c>
      <c r="V60" s="168">
        <f>IF(D60="","",IF(D60&lt;C60,"REVISAR FECHA",D60-C60))</f>
        <v/>
      </c>
      <c r="W60" s="168" t="n">
        <v>61</v>
      </c>
      <c r="X60" s="84">
        <f>IF(H60="VENDIDO","CERRADO",IF(W60="","",IF(W60&gt;120,"CRÍTICO",IF(W60&gt;90,"ALERTA",IF(W60&gt;60,"REVISAR","NORMAL")))))</f>
        <v/>
      </c>
      <c r="Y60">
        <f>IF(D60="","",TEXT(D60,"mmmm yyyy"))</f>
        <v/>
      </c>
      <c r="Z60">
        <f>IF(B60="LOCAL","LOCAL","LOTE")</f>
        <v/>
      </c>
    </row>
    <row r="61" ht="15.6" customHeight="1" s="170">
      <c r="A61" s="108" t="n">
        <v>57</v>
      </c>
      <c r="B61" s="24" t="n">
        <v>76232205</v>
      </c>
      <c r="C61" s="79" t="n">
        <v>46126</v>
      </c>
      <c r="D61" s="81" t="n"/>
      <c r="E61" s="12" t="inlineStr">
        <is>
          <t>JEEP</t>
        </is>
      </c>
      <c r="F61" s="13" t="inlineStr">
        <is>
          <t>RENEGADE SPORT</t>
        </is>
      </c>
      <c r="G61" s="119" t="n">
        <v>2020</v>
      </c>
      <c r="H61" s="94" t="inlineStr">
        <is>
          <t>LEGALIZACION</t>
        </is>
      </c>
      <c r="I61" s="47" t="inlineStr">
        <is>
          <t>ESPERANDO CITA DE EXPERTICIE</t>
        </is>
      </c>
      <c r="J61" s="6" t="n"/>
      <c r="K61" s="6" t="n"/>
      <c r="L61" s="56" t="n"/>
      <c r="M61" s="166" t="n"/>
      <c r="N61" s="166" t="n"/>
      <c r="O61" s="166" t="n"/>
      <c r="P61" s="166" t="n"/>
      <c r="Q61" s="166" t="n"/>
      <c r="R61" s="168" t="n"/>
      <c r="S61" s="168" t="n"/>
      <c r="T61" s="168">
        <f>IF(Q61="","",Q61-C61)</f>
        <v/>
      </c>
      <c r="U61" s="168">
        <f>IF(OR(Q61="",D61=""),"",IF(D61&lt;Q61,"REVISAR FECHA",D61-Q61))</f>
        <v/>
      </c>
      <c r="V61" s="168">
        <f>IF(D61="","",IF(D61&lt;C61,"REVISAR FECHA",D61-C61))</f>
        <v/>
      </c>
      <c r="W61" s="168" t="n">
        <v>60</v>
      </c>
      <c r="X61" s="84">
        <f>IF(H61="VENDIDO","CERRADO",IF(W61="","",IF(W61&gt;120,"CRÍTICO",IF(W61&gt;90,"ALERTA",IF(W61&gt;60,"REVISAR","NORMAL")))))</f>
        <v/>
      </c>
      <c r="Y61">
        <f>IF(D61="","",TEXT(D61,"mmmm yyyy"))</f>
        <v/>
      </c>
      <c r="Z61">
        <f>IF(B61="LOCAL","LOCAL","LOTE")</f>
        <v/>
      </c>
    </row>
    <row r="62" ht="15.6" customHeight="1" s="170">
      <c r="A62" s="108" t="n">
        <v>58</v>
      </c>
      <c r="B62" s="24" t="n">
        <v>78953595</v>
      </c>
      <c r="C62" s="79" t="n">
        <v>46126</v>
      </c>
      <c r="D62" s="81" t="n"/>
      <c r="E62" s="12" t="inlineStr">
        <is>
          <t>HYUNDAI</t>
        </is>
      </c>
      <c r="F62" s="13" t="inlineStr">
        <is>
          <t>ELANTRA SEL</t>
        </is>
      </c>
      <c r="G62" s="119" t="n">
        <v>2020</v>
      </c>
      <c r="H62" s="52" t="inlineStr">
        <is>
          <t>TRANSITO</t>
        </is>
      </c>
      <c r="I62" s="47" t="inlineStr">
        <is>
          <t>USA-ESV</t>
        </is>
      </c>
      <c r="J62" s="6" t="n"/>
      <c r="K62" s="6" t="n"/>
      <c r="L62" s="56" t="n"/>
      <c r="M62" s="166" t="n"/>
      <c r="N62" s="166" t="n"/>
      <c r="O62" s="166" t="n"/>
      <c r="P62" s="166" t="n"/>
      <c r="Q62" s="166" t="n"/>
      <c r="R62" s="168" t="n"/>
      <c r="S62" s="168" t="n"/>
      <c r="T62" s="168">
        <f>IF(Q62="","",Q62-C62)</f>
        <v/>
      </c>
      <c r="U62" s="168">
        <f>IF(OR(Q62="",D62=""),"",IF(D62&lt;Q62,"REVISAR FECHA",D62-Q62))</f>
        <v/>
      </c>
      <c r="V62" s="168">
        <f>IF(D62="","",IF(D62&lt;C62,"REVISAR FECHA",D62-C62))</f>
        <v/>
      </c>
      <c r="W62" s="168" t="n">
        <v>60</v>
      </c>
      <c r="X62" s="84">
        <f>IF(H62="VENDIDO","CERRADO",IF(W62="","",IF(W62&gt;120,"CRÍTICO",IF(W62&gt;90,"ALERTA",IF(W62&gt;60,"REVISAR","NORMAL")))))</f>
        <v/>
      </c>
      <c r="Y62">
        <f>IF(D62="","",TEXT(D62,"mmmm yyyy"))</f>
        <v/>
      </c>
      <c r="Z62">
        <f>IF(B62="LOCAL","LOCAL","LOTE")</f>
        <v/>
      </c>
    </row>
    <row r="63" ht="15.6" customHeight="1" s="170">
      <c r="A63" s="108" t="n">
        <v>59</v>
      </c>
      <c r="B63" s="24" t="n">
        <v>75247785</v>
      </c>
      <c r="C63" s="79" t="n">
        <v>46126</v>
      </c>
      <c r="D63" s="81" t="n"/>
      <c r="E63" s="12" t="inlineStr">
        <is>
          <t>KIA</t>
        </is>
      </c>
      <c r="F63" s="13" t="inlineStr">
        <is>
          <t>RIO</t>
        </is>
      </c>
      <c r="G63" s="119" t="n">
        <v>2020</v>
      </c>
      <c r="H63" s="52" t="inlineStr">
        <is>
          <t>TRANSITO</t>
        </is>
      </c>
      <c r="I63" s="47" t="inlineStr">
        <is>
          <t>USA-ESV</t>
        </is>
      </c>
      <c r="J63" s="6" t="n"/>
      <c r="K63" s="6" t="n"/>
      <c r="L63" s="56" t="n"/>
      <c r="M63" s="166" t="n"/>
      <c r="N63" s="166" t="n"/>
      <c r="O63" s="166" t="n"/>
      <c r="P63" s="166" t="n"/>
      <c r="Q63" s="166" t="n"/>
      <c r="R63" s="168" t="n"/>
      <c r="S63" s="168" t="n"/>
      <c r="T63" s="168">
        <f>IF(Q63="","",Q63-C63)</f>
        <v/>
      </c>
      <c r="U63" s="168">
        <f>IF(OR(Q63="",D63=""),"",IF(D63&lt;Q63,"REVISAR FECHA",D63-Q63))</f>
        <v/>
      </c>
      <c r="V63" s="168">
        <f>IF(D63="","",IF(D63&lt;C63,"REVISAR FECHA",D63-C63))</f>
        <v/>
      </c>
      <c r="W63" s="168" t="n">
        <v>60</v>
      </c>
      <c r="X63" s="84">
        <f>IF(H63="VENDIDO","CERRADO",IF(W63="","",IF(W63&gt;120,"CRÍTICO",IF(W63&gt;90,"ALERTA",IF(W63&gt;60,"REVISAR","NORMAL")))))</f>
        <v/>
      </c>
      <c r="Y63">
        <f>IF(D63="","",TEXT(D63,"mmmm yyyy"))</f>
        <v/>
      </c>
      <c r="Z63">
        <f>IF(B63="LOCAL","LOCAL","LOTE")</f>
        <v/>
      </c>
    </row>
    <row r="64" ht="15.6" customHeight="1" s="170">
      <c r="A64" s="108" t="n">
        <v>60</v>
      </c>
      <c r="B64" s="24" t="n">
        <v>99762885</v>
      </c>
      <c r="C64" s="79" t="n">
        <v>46127</v>
      </c>
      <c r="D64" s="81" t="n"/>
      <c r="E64" s="12" t="inlineStr">
        <is>
          <t>HYUNDAI</t>
        </is>
      </c>
      <c r="F64" s="13" t="inlineStr">
        <is>
          <t>ELANTRA</t>
        </is>
      </c>
      <c r="G64" s="119" t="n">
        <v>2025</v>
      </c>
      <c r="H64" s="52" t="inlineStr">
        <is>
          <t>TRANSITO</t>
        </is>
      </c>
      <c r="I64" s="47" t="inlineStr">
        <is>
          <t>USA-ESV</t>
        </is>
      </c>
      <c r="J64" s="6" t="n"/>
      <c r="K64" s="6" t="n"/>
      <c r="L64" s="56" t="n"/>
      <c r="M64" s="166" t="n"/>
      <c r="N64" s="166" t="n"/>
      <c r="O64" s="166" t="n"/>
      <c r="P64" s="166" t="n"/>
      <c r="Q64" s="166" t="n"/>
      <c r="R64" s="168" t="n"/>
      <c r="S64" s="168" t="n"/>
      <c r="T64" s="168">
        <f>IF(Q64="","",Q64-C64)</f>
        <v/>
      </c>
      <c r="U64" s="168">
        <f>IF(OR(Q64="",D64=""),"",IF(D64&lt;Q64,"REVISAR FECHA",D64-Q64))</f>
        <v/>
      </c>
      <c r="V64" s="168">
        <f>IF(D64="","",IF(D64&lt;C64,"REVISAR FECHA",D64-C64))</f>
        <v/>
      </c>
      <c r="W64" s="168" t="n">
        <v>59</v>
      </c>
      <c r="X64" s="84">
        <f>IF(H64="VENDIDO","CERRADO",IF(W64="","",IF(W64&gt;120,"CRÍTICO",IF(W64&gt;90,"ALERTA",IF(W64&gt;60,"REVISAR","NORMAL")))))</f>
        <v/>
      </c>
      <c r="Y64">
        <f>IF(D64="","",TEXT(D64,"mmmm yyyy"))</f>
        <v/>
      </c>
      <c r="Z64">
        <f>IF(B64="LOCAL","LOCAL","LOTE")</f>
        <v/>
      </c>
    </row>
    <row r="65" ht="15.6" customHeight="1" s="170">
      <c r="A65" s="108" t="n">
        <v>61</v>
      </c>
      <c r="B65" s="24" t="n">
        <v>47168356</v>
      </c>
      <c r="C65" s="79" t="n">
        <v>46127</v>
      </c>
      <c r="D65" s="81" t="n"/>
      <c r="E65" s="12" t="inlineStr">
        <is>
          <t>KIA</t>
        </is>
      </c>
      <c r="F65" s="13" t="inlineStr">
        <is>
          <t>K4 ES</t>
        </is>
      </c>
      <c r="G65" s="119" t="n">
        <v>2025</v>
      </c>
      <c r="H65" s="52" t="inlineStr">
        <is>
          <t>TRANSITO</t>
        </is>
      </c>
      <c r="I65" s="47" t="inlineStr">
        <is>
          <t>USA-ESV</t>
        </is>
      </c>
      <c r="J65" s="6" t="n"/>
      <c r="K65" s="6" t="n"/>
      <c r="L65" s="56" t="n"/>
      <c r="M65" s="166" t="n"/>
      <c r="N65" s="166" t="n"/>
      <c r="O65" s="166" t="n"/>
      <c r="P65" s="166" t="n"/>
      <c r="Q65" s="166" t="n"/>
      <c r="R65" s="168" t="n"/>
      <c r="S65" s="168" t="n"/>
      <c r="T65" s="168">
        <f>IF(Q65="","",Q65-C65)</f>
        <v/>
      </c>
      <c r="U65" s="168">
        <f>IF(OR(Q65="",D65=""),"",IF(D65&lt;Q65,"REVISAR FECHA",D65-Q65))</f>
        <v/>
      </c>
      <c r="V65" s="168">
        <f>IF(D65="","",IF(D65&lt;C65,"REVISAR FECHA",D65-C65))</f>
        <v/>
      </c>
      <c r="W65" s="168" t="n">
        <v>59</v>
      </c>
      <c r="X65" s="84">
        <f>IF(H65="VENDIDO","CERRADO",IF(W65="","",IF(W65&gt;120,"CRÍTICO",IF(W65&gt;90,"ALERTA",IF(W65&gt;60,"REVISAR","NORMAL")))))</f>
        <v/>
      </c>
      <c r="Y65">
        <f>IF(D65="","",TEXT(D65,"mmmm yyyy"))</f>
        <v/>
      </c>
      <c r="Z65">
        <f>IF(B65="LOCAL","LOCAL","LOTE")</f>
        <v/>
      </c>
    </row>
    <row r="66" ht="15.6" customHeight="1" s="170">
      <c r="A66" s="108" t="n">
        <v>62</v>
      </c>
      <c r="B66" s="24" t="n">
        <v>79611945</v>
      </c>
      <c r="C66" s="79" t="n">
        <v>46127</v>
      </c>
      <c r="D66" s="81" t="n"/>
      <c r="E66" s="25" t="inlineStr">
        <is>
          <t>TOYOTA</t>
        </is>
      </c>
      <c r="F66" s="26" t="inlineStr">
        <is>
          <t>COROLLA LE</t>
        </is>
      </c>
      <c r="G66" s="119" t="n">
        <v>2022</v>
      </c>
      <c r="H66" s="94" t="inlineStr">
        <is>
          <t>REPARACION</t>
        </is>
      </c>
      <c r="I66" s="47" t="inlineStr">
        <is>
          <t>TALLER KEVIN RAMIREZ</t>
        </is>
      </c>
      <c r="J66" s="6" t="n"/>
      <c r="K66" s="6" t="n"/>
      <c r="L66" s="56" t="n"/>
      <c r="M66" s="166" t="n"/>
      <c r="N66" s="166" t="n"/>
      <c r="O66" s="166" t="n"/>
      <c r="P66" s="166" t="n"/>
      <c r="Q66" s="166" t="n"/>
      <c r="R66" s="168" t="n"/>
      <c r="S66" s="168" t="n"/>
      <c r="T66" s="168">
        <f>IF(Q66="","",Q66-C66)</f>
        <v/>
      </c>
      <c r="U66" s="168">
        <f>IF(OR(Q66="",D66=""),"",IF(D66&lt;Q66,"REVISAR FECHA",D66-Q66))</f>
        <v/>
      </c>
      <c r="V66" s="168">
        <f>IF(D66="","",IF(D66&lt;C66,"REVISAR FECHA",D66-C66))</f>
        <v/>
      </c>
      <c r="W66" s="168" t="n">
        <v>59</v>
      </c>
      <c r="X66" s="84">
        <f>IF(H66="VENDIDO","CERRADO",IF(W66="","",IF(W66&gt;120,"CRÍTICO",IF(W66&gt;90,"ALERTA",IF(W66&gt;60,"REVISAR","NORMAL")))))</f>
        <v/>
      </c>
      <c r="Y66">
        <f>IF(D66="","",TEXT(D66,"mmmm yyyy"))</f>
        <v/>
      </c>
      <c r="Z66">
        <f>IF(B66="LOCAL","LOCAL","LOTE")</f>
        <v/>
      </c>
    </row>
    <row r="67" ht="15.6" customHeight="1" s="170">
      <c r="A67" s="108" t="n">
        <v>63</v>
      </c>
      <c r="B67" s="24" t="n">
        <v>74371655</v>
      </c>
      <c r="C67" s="79" t="n">
        <v>46128</v>
      </c>
      <c r="D67" s="81" t="n"/>
      <c r="E67" s="27" t="inlineStr">
        <is>
          <t>MITSUBISHI</t>
        </is>
      </c>
      <c r="F67" s="28" t="inlineStr">
        <is>
          <t>MIRAGE LE</t>
        </is>
      </c>
      <c r="G67" s="119" t="n">
        <v>2019</v>
      </c>
      <c r="H67" s="52" t="inlineStr">
        <is>
          <t>TRANSITO</t>
        </is>
      </c>
      <c r="I67" s="47" t="inlineStr">
        <is>
          <t>USA-ESV</t>
        </is>
      </c>
      <c r="J67" s="6" t="n"/>
      <c r="K67" s="6" t="n"/>
      <c r="L67" s="56" t="n"/>
      <c r="M67" s="166" t="n"/>
      <c r="N67" s="166" t="n"/>
      <c r="O67" s="166" t="n"/>
      <c r="P67" s="166" t="n"/>
      <c r="Q67" s="166" t="n"/>
      <c r="R67" s="168" t="n"/>
      <c r="S67" s="168" t="n"/>
      <c r="T67" s="168">
        <f>IF(Q67="","",Q67-C67)</f>
        <v/>
      </c>
      <c r="U67" s="168">
        <f>IF(OR(Q67="",D67=""),"",IF(D67&lt;Q67,"REVISAR FECHA",D67-Q67))</f>
        <v/>
      </c>
      <c r="V67" s="168">
        <f>IF(D67="","",IF(D67&lt;C67,"REVISAR FECHA",D67-C67))</f>
        <v/>
      </c>
      <c r="W67" s="168" t="n">
        <v>58</v>
      </c>
      <c r="X67" s="84">
        <f>IF(H67="VENDIDO","CERRADO",IF(W67="","",IF(W67&gt;120,"CRÍTICO",IF(W67&gt;90,"ALERTA",IF(W67&gt;60,"REVISAR","NORMAL")))))</f>
        <v/>
      </c>
      <c r="Y67">
        <f>IF(D67="","",TEXT(D67,"mmmm yyyy"))</f>
        <v/>
      </c>
      <c r="Z67">
        <f>IF(B67="LOCAL","LOCAL","LOTE")</f>
        <v/>
      </c>
    </row>
    <row r="68" ht="15.6" customHeight="1" s="170">
      <c r="A68" s="108" t="n">
        <v>64</v>
      </c>
      <c r="B68" s="24" t="n">
        <v>74935815</v>
      </c>
      <c r="C68" s="79" t="n">
        <v>46128</v>
      </c>
      <c r="D68" s="81" t="n"/>
      <c r="E68" s="27" t="inlineStr">
        <is>
          <t>HYUNDAI</t>
        </is>
      </c>
      <c r="F68" s="28" t="inlineStr">
        <is>
          <t>ELANTRA SE</t>
        </is>
      </c>
      <c r="G68" s="119" t="n">
        <v>2021</v>
      </c>
      <c r="H68" s="52" t="inlineStr">
        <is>
          <t>ADUANA</t>
        </is>
      </c>
      <c r="I68" s="47" t="inlineStr">
        <is>
          <t>SAN BARTOLO</t>
        </is>
      </c>
      <c r="J68" s="6" t="n"/>
      <c r="K68" s="6" t="n"/>
      <c r="L68" s="56" t="n"/>
      <c r="M68" s="166" t="n"/>
      <c r="N68" s="166" t="n"/>
      <c r="O68" s="166" t="n"/>
      <c r="P68" s="166" t="n"/>
      <c r="Q68" s="166" t="n"/>
      <c r="R68" s="168" t="n"/>
      <c r="S68" s="168" t="n"/>
      <c r="T68" s="168">
        <f>IF(Q68="","",Q68-C68)</f>
        <v/>
      </c>
      <c r="U68" s="168">
        <f>IF(OR(Q68="",D68=""),"",IF(D68&lt;Q68,"REVISAR FECHA",D68-Q68))</f>
        <v/>
      </c>
      <c r="V68" s="168">
        <f>IF(D68="","",IF(D68&lt;C68,"REVISAR FECHA",D68-C68))</f>
        <v/>
      </c>
      <c r="W68" s="168" t="n">
        <v>58</v>
      </c>
      <c r="X68" s="84">
        <f>IF(H68="VENDIDO","CERRADO",IF(W68="","",IF(W68&gt;120,"CRÍTICO",IF(W68&gt;90,"ALERTA",IF(W68&gt;60,"REVISAR","NORMAL")))))</f>
        <v/>
      </c>
      <c r="Y68">
        <f>IF(D68="","",TEXT(D68,"mmmm yyyy"))</f>
        <v/>
      </c>
      <c r="Z68">
        <f>IF(B68="LOCAL","LOCAL","LOTE")</f>
        <v/>
      </c>
    </row>
    <row r="69" ht="15.6" customHeight="1" s="170">
      <c r="A69" s="108" t="n">
        <v>65</v>
      </c>
      <c r="B69" s="24" t="inlineStr">
        <is>
          <t>LOCAL</t>
        </is>
      </c>
      <c r="C69" s="79" t="n">
        <v>46140</v>
      </c>
      <c r="D69" s="81" t="n"/>
      <c r="E69" s="12" t="inlineStr">
        <is>
          <t>CHEVROLET</t>
        </is>
      </c>
      <c r="F69" s="28" t="inlineStr">
        <is>
          <t>COLORADO</t>
        </is>
      </c>
      <c r="G69" s="119" t="n">
        <v>2020</v>
      </c>
      <c r="H69" s="95" t="inlineStr">
        <is>
          <t>DISPONIBLE VENTA</t>
        </is>
      </c>
      <c r="I69" s="47" t="inlineStr">
        <is>
          <t>LISTO PARA LA VENTA</t>
        </is>
      </c>
      <c r="J69" s="6" t="n"/>
      <c r="K69" s="6" t="n"/>
      <c r="L69" s="56" t="n"/>
      <c r="M69" s="166" t="n"/>
      <c r="N69" s="166" t="n"/>
      <c r="O69" s="166" t="n"/>
      <c r="P69" s="166" t="n"/>
      <c r="Q69" s="166" t="n"/>
      <c r="R69" s="168" t="n"/>
      <c r="S69" s="168" t="n"/>
      <c r="T69" s="168">
        <f>IF(Q69="","",Q69-C69)</f>
        <v/>
      </c>
      <c r="U69" s="168">
        <f>IF(OR(Q69="",D69=""),"",IF(D69&lt;Q69,"REVISAR FECHA",D69-Q69))</f>
        <v/>
      </c>
      <c r="V69" s="168">
        <f>IF(D69="","",IF(D69&lt;C69,"REVISAR FECHA",D69-C69))</f>
        <v/>
      </c>
      <c r="W69" s="168" t="n">
        <v>46</v>
      </c>
      <c r="X69" s="84">
        <f>IF(H69="VENDIDO","CERRADO",IF(W69="","",IF(W69&gt;120,"CRÍTICO",IF(W69&gt;90,"ALERTA",IF(W69&gt;60,"REVISAR","NORMAL")))))</f>
        <v/>
      </c>
      <c r="Y69">
        <f>IF(D69="","",TEXT(D69,"mmmm yyyy"))</f>
        <v/>
      </c>
      <c r="Z69">
        <f>IF(B69="LOCAL","LOCAL","LOTE")</f>
        <v/>
      </c>
    </row>
    <row r="70" ht="15.6" customHeight="1" s="170">
      <c r="A70" s="108" t="n">
        <v>66</v>
      </c>
      <c r="B70" s="24" t="n">
        <v>46016746</v>
      </c>
      <c r="C70" s="79" t="n">
        <v>46160</v>
      </c>
      <c r="D70" s="81" t="n"/>
      <c r="E70" s="12" t="inlineStr">
        <is>
          <t>HYUNDAI</t>
        </is>
      </c>
      <c r="F70" s="28" t="inlineStr">
        <is>
          <t>VELOSTER</t>
        </is>
      </c>
      <c r="G70" s="119" t="n">
        <v>2019</v>
      </c>
      <c r="H70" s="88" t="inlineStr">
        <is>
          <t>TRANSITO</t>
        </is>
      </c>
      <c r="I70" s="47" t="inlineStr">
        <is>
          <t>USA-ESV</t>
        </is>
      </c>
      <c r="J70" s="6" t="n"/>
      <c r="K70" s="6" t="n"/>
      <c r="L70" s="56" t="n"/>
      <c r="M70" s="166" t="n"/>
      <c r="N70" s="166" t="n"/>
      <c r="O70" s="166" t="n"/>
      <c r="P70" s="166" t="n"/>
      <c r="Q70" s="166" t="n"/>
      <c r="R70" s="168" t="n"/>
      <c r="S70" s="168" t="n"/>
      <c r="T70" s="168">
        <f>IF(Q70="","",Q70-C70)</f>
        <v/>
      </c>
      <c r="U70" s="168">
        <f>IF(OR(Q70="",D70=""),"",IF(D70&lt;Q70,"REVISAR FECHA",D70-Q70))</f>
        <v/>
      </c>
      <c r="V70" s="168">
        <f>IF(D70="","",IF(D70&lt;C70,"REVISAR FECHA",D70-C70))</f>
        <v/>
      </c>
      <c r="W70" s="168" t="n">
        <v>26</v>
      </c>
      <c r="X70" s="84">
        <f>IF(H70="VENDIDO","CERRADO",IF(W70="","",IF(W70&gt;120,"CRÍTICO",IF(W70&gt;90,"ALERTA",IF(W70&gt;60,"REVISAR","NORMAL")))))</f>
        <v/>
      </c>
      <c r="Y70">
        <f>IF(D70="","",TEXT(D70,"mmmm yyyy"))</f>
        <v/>
      </c>
      <c r="Z70">
        <f>IF(B70="LOCAL","LOCAL","LOTE")</f>
        <v/>
      </c>
    </row>
    <row r="71" ht="15.6" customHeight="1" s="170">
      <c r="A71" s="108" t="n">
        <v>67</v>
      </c>
      <c r="B71" s="24" t="n">
        <v>49368466</v>
      </c>
      <c r="C71" s="79" t="n">
        <v>46160</v>
      </c>
      <c r="D71" s="81" t="n"/>
      <c r="E71" s="27" t="inlineStr">
        <is>
          <t>KIA</t>
        </is>
      </c>
      <c r="F71" s="28" t="inlineStr">
        <is>
          <t>RIO S</t>
        </is>
      </c>
      <c r="G71" s="119" t="n">
        <v>2020</v>
      </c>
      <c r="H71" s="88" t="inlineStr">
        <is>
          <t>TRANSITO</t>
        </is>
      </c>
      <c r="I71" s="47" t="inlineStr">
        <is>
          <t>USA-ESV</t>
        </is>
      </c>
      <c r="J71" s="6" t="n"/>
      <c r="K71" s="6" t="n"/>
      <c r="L71" s="56" t="n"/>
      <c r="M71" s="166" t="n"/>
      <c r="N71" s="166" t="n"/>
      <c r="O71" s="166" t="n"/>
      <c r="P71" s="166" t="n"/>
      <c r="Q71" s="166" t="n"/>
      <c r="R71" s="168" t="n"/>
      <c r="S71" s="168" t="n"/>
      <c r="T71" s="168">
        <f>IF(Q71="","",Q71-C71)</f>
        <v/>
      </c>
      <c r="U71" s="168">
        <f>IF(OR(Q71="",D71=""),"",IF(D71&lt;Q71,"REVISAR FECHA",D71-Q71))</f>
        <v/>
      </c>
      <c r="V71" s="168">
        <f>IF(D71="","",IF(D71&lt;C71,"REVISAR FECHA",D71-C71))</f>
        <v/>
      </c>
      <c r="W71" s="168" t="n">
        <v>26</v>
      </c>
      <c r="X71" s="84">
        <f>IF(H71="VENDIDO","CERRADO",IF(W71="","",IF(W71&gt;120,"CRÍTICO",IF(W71&gt;90,"ALERTA",IF(W71&gt;60,"REVISAR","NORMAL")))))</f>
        <v/>
      </c>
      <c r="Y71">
        <f>IF(D71="","",TEXT(D71,"mmmm yyyy"))</f>
        <v/>
      </c>
      <c r="Z71">
        <f>IF(B71="LOCAL","LOCAL","LOTE")</f>
        <v/>
      </c>
    </row>
    <row r="72" ht="15.6" customHeight="1" s="170">
      <c r="A72" s="108" t="n">
        <v>68</v>
      </c>
      <c r="B72" s="24" t="n">
        <v>78815315</v>
      </c>
      <c r="C72" s="79" t="n">
        <v>46160</v>
      </c>
      <c r="D72" s="81" t="n"/>
      <c r="E72" s="27" t="inlineStr">
        <is>
          <t>NISSAN</t>
        </is>
      </c>
      <c r="F72" s="28" t="inlineStr">
        <is>
          <t>SENTRA</t>
        </is>
      </c>
      <c r="G72" s="119" t="n">
        <v>2019</v>
      </c>
      <c r="H72" s="88" t="inlineStr">
        <is>
          <t>TRANSITO</t>
        </is>
      </c>
      <c r="I72" s="47" t="inlineStr">
        <is>
          <t>USA-ESV</t>
        </is>
      </c>
      <c r="J72" s="6" t="n"/>
      <c r="K72" s="6" t="n"/>
      <c r="L72" s="56" t="n"/>
      <c r="M72" s="166" t="n"/>
      <c r="N72" s="166" t="n"/>
      <c r="O72" s="166" t="n"/>
      <c r="P72" s="166" t="n"/>
      <c r="Q72" s="166" t="n"/>
      <c r="R72" s="168" t="n"/>
      <c r="S72" s="168" t="n"/>
      <c r="T72" s="168">
        <f>IF(Q72="","",Q72-C72)</f>
        <v/>
      </c>
      <c r="U72" s="168">
        <f>IF(OR(Q72="",D72=""),"",IF(D72&lt;Q72,"REVISAR FECHA",D72-Q72))</f>
        <v/>
      </c>
      <c r="V72" s="168">
        <f>IF(D72="","",IF(D72&lt;C72,"REVISAR FECHA",D72-C72))</f>
        <v/>
      </c>
      <c r="W72" s="168" t="n">
        <v>26</v>
      </c>
      <c r="X72" s="84">
        <f>IF(H72="VENDIDO","CERRADO",IF(W72="","",IF(W72&gt;120,"CRÍTICO",IF(W72&gt;90,"ALERTA",IF(W72&gt;60,"REVISAR","NORMAL")))))</f>
        <v/>
      </c>
      <c r="Y72">
        <f>IF(D72="","",TEXT(D72,"mmmm yyyy"))</f>
        <v/>
      </c>
      <c r="Z72">
        <f>IF(B72="LOCAL","LOCAL","LOTE")</f>
        <v/>
      </c>
    </row>
    <row r="73" ht="15.6" customHeight="1" s="170">
      <c r="A73" s="108" t="n">
        <v>69</v>
      </c>
      <c r="B73" s="24" t="n">
        <v>48356166</v>
      </c>
      <c r="C73" s="79" t="n">
        <v>46161</v>
      </c>
      <c r="D73" s="81" t="n"/>
      <c r="E73" s="27" t="inlineStr">
        <is>
          <t>NISSAN</t>
        </is>
      </c>
      <c r="F73" s="28" t="inlineStr">
        <is>
          <t>VERSA</t>
        </is>
      </c>
      <c r="G73" s="119" t="n">
        <v>2022</v>
      </c>
      <c r="H73" s="88" t="inlineStr">
        <is>
          <t>TRANSITO</t>
        </is>
      </c>
      <c r="I73" s="47" t="inlineStr">
        <is>
          <t>USA-ESV</t>
        </is>
      </c>
      <c r="J73" s="6" t="n"/>
      <c r="K73" s="6" t="n"/>
      <c r="L73" s="56" t="n"/>
      <c r="M73" s="166" t="n"/>
      <c r="N73" s="166" t="n"/>
      <c r="O73" s="166" t="n"/>
      <c r="P73" s="166" t="n"/>
      <c r="Q73" s="166" t="n"/>
      <c r="R73" s="168" t="n"/>
      <c r="S73" s="168" t="n"/>
      <c r="T73" s="168">
        <f>IF(Q73="","",Q73-C73)</f>
        <v/>
      </c>
      <c r="U73" s="168">
        <f>IF(OR(Q73="",D73=""),"",IF(D73&lt;Q73,"REVISAR FECHA",D73-Q73))</f>
        <v/>
      </c>
      <c r="V73" s="168">
        <f>IF(D73="","",IF(D73&lt;C73,"REVISAR FECHA",D73-C73))</f>
        <v/>
      </c>
      <c r="W73" s="168" t="n">
        <v>25</v>
      </c>
      <c r="X73" s="84">
        <f>IF(H73="VENDIDO","CERRADO",IF(W73="","",IF(W73&gt;120,"CRÍTICO",IF(W73&gt;90,"ALERTA",IF(W73&gt;60,"REVISAR","NORMAL")))))</f>
        <v/>
      </c>
      <c r="Y73">
        <f>IF(D73="","",TEXT(D73,"mmmm yyyy"))</f>
        <v/>
      </c>
      <c r="Z73">
        <f>IF(B73="LOCAL","LOCAL","LOTE")</f>
        <v/>
      </c>
    </row>
    <row r="74" ht="15.6" customHeight="1" s="170">
      <c r="A74" s="108" t="n">
        <v>70</v>
      </c>
      <c r="B74" s="24" t="n">
        <v>50007056</v>
      </c>
      <c r="C74" s="79" t="n">
        <v>46161</v>
      </c>
      <c r="D74" s="81" t="n"/>
      <c r="E74" s="27" t="inlineStr">
        <is>
          <t>KIA</t>
        </is>
      </c>
      <c r="F74" s="28" t="inlineStr">
        <is>
          <t>SOUL GT LINE</t>
        </is>
      </c>
      <c r="G74" s="119" t="n">
        <v>2020</v>
      </c>
      <c r="H74" s="88" t="inlineStr">
        <is>
          <t>TRANSITO</t>
        </is>
      </c>
      <c r="I74" s="47" t="inlineStr">
        <is>
          <t>USA-ESV</t>
        </is>
      </c>
      <c r="J74" s="6" t="n"/>
      <c r="K74" s="6" t="n"/>
      <c r="L74" s="56" t="n"/>
      <c r="M74" s="166" t="n"/>
      <c r="N74" s="166" t="n"/>
      <c r="O74" s="166" t="n"/>
      <c r="P74" s="166" t="n"/>
      <c r="Q74" s="166" t="n"/>
      <c r="R74" s="168" t="n"/>
      <c r="S74" s="168" t="n"/>
      <c r="T74" s="168">
        <f>IF(Q74="","",Q74-C74)</f>
        <v/>
      </c>
      <c r="U74" s="168">
        <f>IF(OR(Q74="",D74=""),"",IF(D74&lt;Q74,"REVISAR FECHA",D74-Q74))</f>
        <v/>
      </c>
      <c r="V74" s="168">
        <f>IF(D74="","",IF(D74&lt;C74,"REVISAR FECHA",D74-C74))</f>
        <v/>
      </c>
      <c r="W74" s="168" t="n">
        <v>25</v>
      </c>
      <c r="X74" s="84">
        <f>IF(H74="VENDIDO","CERRADO",IF(W74="","",IF(W74&gt;120,"CRÍTICO",IF(W74&gt;90,"ALERTA",IF(W74&gt;60,"REVISAR","NORMAL")))))</f>
        <v/>
      </c>
      <c r="Y74">
        <f>IF(D74="","",TEXT(D74,"mmmm yyyy"))</f>
        <v/>
      </c>
      <c r="Z74">
        <f>IF(B74="LOCAL","LOCAL","LOTE")</f>
        <v/>
      </c>
    </row>
    <row r="75" ht="15.6" customHeight="1" s="170">
      <c r="A75" s="108" t="n">
        <v>71</v>
      </c>
      <c r="B75" s="24" t="n">
        <v>52164596</v>
      </c>
      <c r="C75" s="79" t="n">
        <v>46161</v>
      </c>
      <c r="D75" s="81" t="n"/>
      <c r="E75" s="27" t="inlineStr">
        <is>
          <t>CHEVROLET</t>
        </is>
      </c>
      <c r="F75" s="28" t="inlineStr">
        <is>
          <t>SPARK 1LT</t>
        </is>
      </c>
      <c r="G75" s="119" t="n">
        <v>2020</v>
      </c>
      <c r="H75" s="88" t="inlineStr">
        <is>
          <t>TRANSITO</t>
        </is>
      </c>
      <c r="I75" s="47" t="inlineStr">
        <is>
          <t>USA-ESV</t>
        </is>
      </c>
      <c r="J75" s="6" t="n"/>
      <c r="K75" s="6" t="n"/>
      <c r="L75" s="56" t="n"/>
      <c r="M75" s="166" t="n"/>
      <c r="N75" s="166" t="n"/>
      <c r="O75" s="166" t="n"/>
      <c r="P75" s="166" t="n"/>
      <c r="Q75" s="166" t="n"/>
      <c r="R75" s="168" t="n"/>
      <c r="S75" s="168" t="n"/>
      <c r="T75" s="168">
        <f>IF(Q75="","",Q75-C75)</f>
        <v/>
      </c>
      <c r="U75" s="168">
        <f>IF(OR(Q75="",D75=""),"",IF(D75&lt;Q75,"REVISAR FECHA",D75-Q75))</f>
        <v/>
      </c>
      <c r="V75" s="168">
        <f>IF(D75="","",IF(D75&lt;C75,"REVISAR FECHA",D75-C75))</f>
        <v/>
      </c>
      <c r="W75" s="168" t="n">
        <v>25</v>
      </c>
      <c r="X75" s="84">
        <f>IF(H75="VENDIDO","CERRADO",IF(W75="","",IF(W75&gt;120,"CRÍTICO",IF(W75&gt;90,"ALERTA",IF(W75&gt;60,"REVISAR","NORMAL")))))</f>
        <v/>
      </c>
      <c r="Y75">
        <f>IF(D75="","",TEXT(D75,"mmmm yyyy"))</f>
        <v/>
      </c>
      <c r="Z75">
        <f>IF(B75="LOCAL","LOCAL","LOTE")</f>
        <v/>
      </c>
    </row>
    <row r="76" ht="15.6" customHeight="1" s="170">
      <c r="A76" s="108" t="n">
        <v>72</v>
      </c>
      <c r="B76" s="24" t="n">
        <v>78974315</v>
      </c>
      <c r="C76" s="79" t="n">
        <v>46162</v>
      </c>
      <c r="D76" s="81" t="n"/>
      <c r="E76" s="27" t="inlineStr">
        <is>
          <t>CHEVROLET</t>
        </is>
      </c>
      <c r="F76" s="28" t="inlineStr">
        <is>
          <t>TRAX 1LT</t>
        </is>
      </c>
      <c r="G76" s="119" t="n">
        <v>2019</v>
      </c>
      <c r="H76" s="88" t="inlineStr">
        <is>
          <t>TRANSITO</t>
        </is>
      </c>
      <c r="I76" s="47" t="inlineStr">
        <is>
          <t>USA-ESV</t>
        </is>
      </c>
      <c r="J76" s="6" t="n"/>
      <c r="K76" s="6" t="n"/>
      <c r="L76" s="56" t="n"/>
      <c r="M76" s="166" t="n"/>
      <c r="N76" s="166" t="n"/>
      <c r="O76" s="166" t="n"/>
      <c r="P76" s="166" t="n"/>
      <c r="Q76" s="166" t="n"/>
      <c r="R76" s="168" t="n"/>
      <c r="S76" s="168" t="n"/>
      <c r="T76" s="168">
        <f>IF(Q76="","",Q76-C76)</f>
        <v/>
      </c>
      <c r="U76" s="168">
        <f>IF(OR(Q76="",D76=""),"",IF(D76&lt;Q76,"REVISAR FECHA",D76-Q76))</f>
        <v/>
      </c>
      <c r="V76" s="168">
        <f>IF(D76="","",IF(D76&lt;C76,"REVISAR FECHA",D76-C76))</f>
        <v/>
      </c>
      <c r="W76" s="168" t="n">
        <v>24</v>
      </c>
      <c r="X76" s="84">
        <f>IF(H76="VENDIDO","CERRADO",IF(W76="","",IF(W76&gt;120,"CRÍTICO",IF(W76&gt;90,"ALERTA",IF(W76&gt;60,"REVISAR","NORMAL")))))</f>
        <v/>
      </c>
      <c r="Y76">
        <f>IF(D76="","",TEXT(D76,"mmmm yyyy"))</f>
        <v/>
      </c>
      <c r="Z76">
        <f>IF(B76="LOCAL","LOCAL","LOTE")</f>
        <v/>
      </c>
    </row>
    <row r="77" ht="15.6" customHeight="1" s="170">
      <c r="A77" s="108" t="n">
        <v>73</v>
      </c>
      <c r="B77" s="24" t="n">
        <v>45601786</v>
      </c>
      <c r="C77" s="79" t="n">
        <v>46164</v>
      </c>
      <c r="D77" s="81" t="n"/>
      <c r="E77" s="27" t="inlineStr">
        <is>
          <t>NISSAN</t>
        </is>
      </c>
      <c r="F77" s="28" t="inlineStr">
        <is>
          <t>VERSA SV</t>
        </is>
      </c>
      <c r="G77" s="119" t="n">
        <v>2021</v>
      </c>
      <c r="H77" s="88" t="inlineStr">
        <is>
          <t>TRANSITO</t>
        </is>
      </c>
      <c r="I77" s="47" t="inlineStr">
        <is>
          <t>USA-ESV</t>
        </is>
      </c>
      <c r="J77" s="6" t="n"/>
      <c r="K77" s="6" t="n"/>
      <c r="L77" s="56" t="n"/>
      <c r="M77" s="166" t="n"/>
      <c r="N77" s="166" t="n"/>
      <c r="O77" s="166" t="n"/>
      <c r="P77" s="166" t="n"/>
      <c r="Q77" s="166" t="n"/>
      <c r="R77" s="168" t="n"/>
      <c r="S77" s="168" t="n"/>
      <c r="T77" s="168">
        <f>IF(Q77="","",Q77-C77)</f>
        <v/>
      </c>
      <c r="U77" s="168">
        <f>IF(OR(Q77="",D77=""),"",IF(D77&lt;Q77,"REVISAR FECHA",D77-Q77))</f>
        <v/>
      </c>
      <c r="V77" s="168">
        <f>IF(D77="","",IF(D77&lt;C77,"REVISAR FECHA",D77-C77))</f>
        <v/>
      </c>
      <c r="W77" s="168" t="n">
        <v>22</v>
      </c>
      <c r="X77" s="84">
        <f>IF(H77="VENDIDO","CERRADO",IF(W77="","",IF(W77&gt;120,"CRÍTICO",IF(W77&gt;90,"ALERTA",IF(W77&gt;60,"REVISAR","NORMAL")))))</f>
        <v/>
      </c>
      <c r="Y77">
        <f>IF(D77="","",TEXT(D77,"mmmm yyyy"))</f>
        <v/>
      </c>
      <c r="Z77">
        <f>IF(B77="LOCAL","LOCAL","LOTE")</f>
        <v/>
      </c>
    </row>
    <row r="78" ht="15.6" customHeight="1" s="170">
      <c r="A78" s="102" t="n">
        <v>74</v>
      </c>
      <c r="B78" s="87" t="n">
        <v>50210906</v>
      </c>
      <c r="C78" s="71" t="n">
        <v>46164</v>
      </c>
      <c r="D78" s="82" t="n"/>
      <c r="E78" s="62" t="inlineStr">
        <is>
          <t>NISSAN</t>
        </is>
      </c>
      <c r="F78" s="63" t="inlineStr">
        <is>
          <t>SENTRA SV</t>
        </is>
      </c>
      <c r="G78" s="113" t="n">
        <v>2019</v>
      </c>
      <c r="H78" s="88" t="inlineStr">
        <is>
          <t>TRANSITO</t>
        </is>
      </c>
      <c r="I78" s="47" t="inlineStr">
        <is>
          <t>USA-ESV</t>
        </is>
      </c>
      <c r="J78" s="6" t="n"/>
      <c r="K78" s="6" t="n"/>
      <c r="L78" s="56" t="n"/>
      <c r="M78" s="166" t="n"/>
      <c r="N78" s="166" t="n"/>
      <c r="O78" s="166" t="n"/>
      <c r="P78" s="166" t="n"/>
      <c r="Q78" s="166" t="n"/>
      <c r="R78" s="168" t="n"/>
      <c r="S78" s="168" t="n"/>
      <c r="T78" s="168">
        <f>IF(Q78="","",Q78-C78)</f>
        <v/>
      </c>
      <c r="U78" s="168">
        <f>IF(OR(Q78="",D78=""),"",IF(D78&lt;Q78,"REVISAR FECHA",D78-Q78))</f>
        <v/>
      </c>
      <c r="V78" s="168">
        <f>IF(D78="","",IF(D78&lt;C78,"REVISAR FECHA",D78-C78))</f>
        <v/>
      </c>
      <c r="W78" s="168" t="n">
        <v>22</v>
      </c>
      <c r="X78" s="84">
        <f>IF(H78="VENDIDO","CERRADO",IF(W78="","",IF(W78&gt;120,"CRÍTICO",IF(W78&gt;90,"ALERTA",IF(W78&gt;60,"REVISAR","NORMAL")))))</f>
        <v/>
      </c>
      <c r="Y78">
        <f>IF(D78="","",TEXT(D78,"mmmm yyyy"))</f>
        <v/>
      </c>
      <c r="Z78">
        <f>IF(B78="LOCAL","LOCAL","LOTE")</f>
        <v/>
      </c>
    </row>
    <row r="79" ht="15.6" customHeight="1" s="170">
      <c r="A79" s="102" t="n">
        <v>75</v>
      </c>
      <c r="B79" s="87" t="n">
        <v>47293036</v>
      </c>
      <c r="C79" s="71" t="n">
        <v>46164</v>
      </c>
      <c r="D79" s="82" t="n"/>
      <c r="E79" s="62" t="inlineStr">
        <is>
          <t>HYUNDAI</t>
        </is>
      </c>
      <c r="F79" s="63" t="inlineStr">
        <is>
          <t>ACCENT SE</t>
        </is>
      </c>
      <c r="G79" s="113" t="n">
        <v>2020</v>
      </c>
      <c r="H79" s="88" t="inlineStr">
        <is>
          <t>TRANSITO</t>
        </is>
      </c>
      <c r="I79" s="47" t="inlineStr">
        <is>
          <t>USA-ESV</t>
        </is>
      </c>
      <c r="J79" s="51" t="n"/>
      <c r="K79" s="51" t="n"/>
      <c r="L79" s="56" t="n"/>
      <c r="M79" s="166" t="n"/>
      <c r="N79" s="166" t="n"/>
      <c r="O79" s="166" t="n"/>
      <c r="P79" s="166" t="n"/>
      <c r="Q79" s="166" t="n"/>
      <c r="R79" s="168" t="n"/>
      <c r="S79" s="168" t="n"/>
      <c r="T79" s="168">
        <f>IF(Q79="","",Q79-C79)</f>
        <v/>
      </c>
      <c r="U79" s="168">
        <f>IF(OR(Q79="",D79=""),"",IF(D79&lt;Q79,"REVISAR FECHA",D79-Q79))</f>
        <v/>
      </c>
      <c r="V79" s="168">
        <f>IF(D79="","",IF(D79&lt;C79,"REVISAR FECHA",D79-C79))</f>
        <v/>
      </c>
      <c r="W79" s="168" t="n">
        <v>22</v>
      </c>
      <c r="X79" s="84">
        <f>IF(H79="VENDIDO","CERRADO",IF(W79="","",IF(W79&gt;120,"CRÍTICO",IF(W79&gt;90,"ALERTA",IF(W79&gt;60,"REVISAR","NORMAL")))))</f>
        <v/>
      </c>
      <c r="Y79">
        <f>IF(D79="","",TEXT(D79,"mmmm yyyy"))</f>
        <v/>
      </c>
      <c r="Z79">
        <f>IF(B79="LOCAL","LOCAL","LOTE")</f>
        <v/>
      </c>
    </row>
    <row r="80" ht="15.6" customHeight="1" s="170">
      <c r="A80" s="102" t="n">
        <v>76</v>
      </c>
      <c r="B80" s="87" t="n">
        <v>50823796</v>
      </c>
      <c r="C80" s="71" t="n">
        <v>46168</v>
      </c>
      <c r="D80" s="82" t="n"/>
      <c r="E80" s="62" t="inlineStr">
        <is>
          <t>FORD</t>
        </is>
      </c>
      <c r="F80" s="63" t="inlineStr">
        <is>
          <t>ECO SPORT</t>
        </is>
      </c>
      <c r="G80" s="113" t="n">
        <v>2020</v>
      </c>
      <c r="H80" s="88" t="inlineStr">
        <is>
          <t>TRANSITO</t>
        </is>
      </c>
      <c r="I80" s="47" t="inlineStr">
        <is>
          <t>USA-ESV</t>
        </is>
      </c>
      <c r="L80" s="166" t="n"/>
      <c r="M80" s="166" t="n"/>
      <c r="N80" s="166" t="n"/>
      <c r="O80" s="166" t="n"/>
      <c r="P80" s="166" t="n"/>
      <c r="Q80" s="166" t="n"/>
      <c r="R80" s="168" t="n"/>
      <c r="S80" s="168" t="n"/>
      <c r="T80" s="168">
        <f>IF(Q80="","",Q80-C80)</f>
        <v/>
      </c>
      <c r="U80" s="168">
        <f>IF(OR(Q80="",D80=""),"",IF(D80&lt;Q80,"REVISAR FECHA",D80-Q80))</f>
        <v/>
      </c>
      <c r="V80" s="168">
        <f>IF(D80="","",IF(D80&lt;C80,"REVISAR FECHA",D80-C80))</f>
        <v/>
      </c>
      <c r="W80" s="168" t="n">
        <v>18</v>
      </c>
      <c r="X80" s="84">
        <f>IF(H80="VENDIDO","CERRADO",IF(W80="","",IF(W80&gt;120,"CRÍTICO",IF(W80&gt;90,"ALERTA",IF(W80&gt;60,"REVISAR","NORMAL")))))</f>
        <v/>
      </c>
      <c r="Y80">
        <f>IF(D80="","",TEXT(D80,"mmmm yyyy"))</f>
        <v/>
      </c>
      <c r="Z80">
        <f>IF(B80="LOCAL","LOCAL","LOTE")</f>
        <v/>
      </c>
    </row>
    <row r="81" ht="15.6" customHeight="1" s="170">
      <c r="A81" s="102" t="n">
        <v>77</v>
      </c>
      <c r="B81" s="87" t="n">
        <v>50823796</v>
      </c>
      <c r="C81" s="71" t="n">
        <v>46169</v>
      </c>
      <c r="D81" s="82" t="n"/>
      <c r="E81" s="62" t="inlineStr">
        <is>
          <t>FORD</t>
        </is>
      </c>
      <c r="F81" s="63" t="inlineStr">
        <is>
          <t>ESCAPE SEL</t>
        </is>
      </c>
      <c r="G81" s="113" t="n">
        <v>2019</v>
      </c>
      <c r="H81" s="88" t="inlineStr">
        <is>
          <t>TRANSITO</t>
        </is>
      </c>
      <c r="I81" s="47" t="inlineStr">
        <is>
          <t>USA-ESV</t>
        </is>
      </c>
      <c r="L81" s="166" t="n"/>
      <c r="M81" s="166" t="n"/>
      <c r="N81" s="166" t="n"/>
      <c r="O81" s="166" t="n"/>
      <c r="P81" s="166" t="n"/>
      <c r="Q81" s="166" t="n"/>
      <c r="R81" s="168" t="n"/>
      <c r="S81" s="168" t="n"/>
      <c r="T81" s="168">
        <f>IF(Q81="","",Q81-C81)</f>
        <v/>
      </c>
      <c r="U81" s="168">
        <f>IF(OR(Q81="",D81=""),"",IF(D81&lt;Q81,"REVISAR FECHA",D81-Q81))</f>
        <v/>
      </c>
      <c r="V81" s="168">
        <f>IF(D81="","",IF(D81&lt;C81,"REVISAR FECHA",D81-C81))</f>
        <v/>
      </c>
      <c r="W81" s="168" t="n">
        <v>17</v>
      </c>
      <c r="X81" s="84">
        <f>IF(H81="VENDIDO","CERRADO",IF(W81="","",IF(W81&gt;120,"CRÍTICO",IF(W81&gt;90,"ALERTA",IF(W81&gt;60,"REVISAR","NORMAL")))))</f>
        <v/>
      </c>
      <c r="Y81">
        <f>IF(D81="","",TEXT(D81,"mmmm yyyy"))</f>
        <v/>
      </c>
      <c r="Z81">
        <f>IF(B81="LOCAL","LOCAL","LOTE")</f>
        <v/>
      </c>
    </row>
    <row r="82" ht="15.6" customHeight="1" s="170">
      <c r="A82" s="102" t="n">
        <v>78</v>
      </c>
      <c r="B82" s="87" t="n">
        <v>75348225</v>
      </c>
      <c r="C82" s="71" t="n">
        <v>46169</v>
      </c>
      <c r="D82" s="82" t="n"/>
      <c r="E82" s="62" t="inlineStr">
        <is>
          <t>KIA</t>
        </is>
      </c>
      <c r="F82" s="63" t="inlineStr">
        <is>
          <t>RIO LX</t>
        </is>
      </c>
      <c r="G82" s="113" t="n">
        <v>2022</v>
      </c>
      <c r="H82" s="88" t="inlineStr">
        <is>
          <t>TRANSITO</t>
        </is>
      </c>
      <c r="I82" s="47" t="inlineStr">
        <is>
          <t>USA-ESV</t>
        </is>
      </c>
      <c r="L82" s="166" t="n"/>
      <c r="M82" s="166" t="n"/>
      <c r="N82" s="166" t="n"/>
      <c r="O82" s="166" t="n"/>
      <c r="P82" s="166" t="n"/>
      <c r="Q82" s="166" t="n"/>
      <c r="R82" s="168" t="n"/>
      <c r="S82" s="168" t="n"/>
      <c r="T82" s="168">
        <f>IF(Q82="","",Q82-C82)</f>
        <v/>
      </c>
      <c r="U82" s="168">
        <f>IF(OR(Q82="",D82=""),"",IF(D82&lt;Q82,"REVISAR FECHA",D82-Q82))</f>
        <v/>
      </c>
      <c r="V82" s="168">
        <f>IF(D82="","",IF(D82&lt;C82,"REVISAR FECHA",D82-C82))</f>
        <v/>
      </c>
      <c r="W82" s="168" t="n">
        <v>17</v>
      </c>
      <c r="X82" s="84">
        <f>IF(H82="VENDIDO","CERRADO",IF(W82="","",IF(W82&gt;120,"CRÍTICO",IF(W82&gt;90,"ALERTA",IF(W82&gt;60,"REVISAR","NORMAL")))))</f>
        <v/>
      </c>
      <c r="Y82">
        <f>IF(D82="","",TEXT(D82,"mmmm yyyy"))</f>
        <v/>
      </c>
      <c r="Z82">
        <f>IF(B82="LOCAL","LOCAL","LOTE")</f>
        <v/>
      </c>
    </row>
    <row r="83" ht="15.6" customHeight="1" s="170">
      <c r="A83" s="102" t="n">
        <v>79</v>
      </c>
      <c r="B83" s="87" t="n">
        <v>68581874</v>
      </c>
      <c r="C83" s="71" t="n">
        <v>46169</v>
      </c>
      <c r="D83" s="82" t="n"/>
      <c r="E83" s="62" t="inlineStr">
        <is>
          <t>HYUNDAI</t>
        </is>
      </c>
      <c r="F83" s="63" t="inlineStr">
        <is>
          <t>ACCENT SE</t>
        </is>
      </c>
      <c r="G83" s="113" t="n">
        <v>2020</v>
      </c>
      <c r="H83" s="88" t="inlineStr">
        <is>
          <t>TRANSITO</t>
        </is>
      </c>
      <c r="I83" s="47" t="inlineStr">
        <is>
          <t>USA-ESV</t>
        </is>
      </c>
      <c r="L83" s="166" t="n"/>
      <c r="M83" s="166" t="n"/>
      <c r="N83" s="166" t="n"/>
      <c r="O83" s="166" t="n"/>
      <c r="P83" s="166" t="n"/>
      <c r="Q83" s="166" t="n"/>
      <c r="R83" s="168" t="n"/>
      <c r="S83" s="168" t="n"/>
      <c r="T83" s="168">
        <f>IF(Q83="","",Q83-C83)</f>
        <v/>
      </c>
      <c r="U83" s="168">
        <f>IF(OR(Q83="",D83=""),"",IF(D83&lt;Q83,"REVISAR FECHA",D83-Q83))</f>
        <v/>
      </c>
      <c r="V83" s="168">
        <f>IF(D83="","",IF(D83&lt;C83,"REVISAR FECHA",D83-C83))</f>
        <v/>
      </c>
      <c r="W83" s="168" t="n">
        <v>17</v>
      </c>
      <c r="X83" s="84">
        <f>IF(H83="VENDIDO","CERRADO",IF(W83="","",IF(W83&gt;120,"CRÍTICO",IF(W83&gt;90,"ALERTA",IF(W83&gt;60,"REVISAR","NORMAL")))))</f>
        <v/>
      </c>
      <c r="Y83">
        <f>IF(D83="","",TEXT(D83,"mmmm yyyy"))</f>
        <v/>
      </c>
      <c r="Z83">
        <f>IF(B83="LOCAL","LOCAL","LOTE")</f>
        <v/>
      </c>
    </row>
    <row r="84" ht="15.6" customHeight="1" s="170">
      <c r="A84" s="102" t="n">
        <v>80</v>
      </c>
      <c r="B84" s="87" t="n">
        <v>79531565</v>
      </c>
      <c r="C84" s="71" t="n">
        <v>46170</v>
      </c>
      <c r="D84" s="82" t="n"/>
      <c r="E84" s="62" t="inlineStr">
        <is>
          <t>FORD</t>
        </is>
      </c>
      <c r="F84" s="63" t="inlineStr">
        <is>
          <t>ECOSPORT SES</t>
        </is>
      </c>
      <c r="G84" s="113" t="n">
        <v>2021</v>
      </c>
      <c r="H84" s="88" t="inlineStr">
        <is>
          <t>TRANSITO</t>
        </is>
      </c>
      <c r="I84" s="47" t="inlineStr">
        <is>
          <t>USA-ESV</t>
        </is>
      </c>
      <c r="L84" s="166" t="n"/>
      <c r="M84" s="166" t="n"/>
      <c r="N84" s="166" t="n"/>
      <c r="O84" s="166" t="n"/>
      <c r="P84" s="166" t="n"/>
      <c r="Q84" s="166" t="n"/>
      <c r="R84" s="168" t="n"/>
      <c r="S84" s="168" t="n"/>
      <c r="T84" s="168">
        <f>IF(Q84="","",Q84-C84)</f>
        <v/>
      </c>
      <c r="U84" s="168">
        <f>IF(OR(Q84="",D84=""),"",IF(D84&lt;Q84,"REVISAR FECHA",D84-Q84))</f>
        <v/>
      </c>
      <c r="V84" s="168">
        <f>IF(D84="","",IF(D84&lt;C84,"REVISAR FECHA",D84-C84))</f>
        <v/>
      </c>
      <c r="W84" s="168" t="n">
        <v>16</v>
      </c>
      <c r="X84" s="84">
        <f>IF(H84="VENDIDO","CERRADO",IF(W84="","",IF(W84&gt;120,"CRÍTICO",IF(W84&gt;90,"ALERTA",IF(W84&gt;60,"REVISAR","NORMAL")))))</f>
        <v/>
      </c>
      <c r="Y84">
        <f>IF(D84="","",TEXT(D84,"mmmm yyyy"))</f>
        <v/>
      </c>
      <c r="Z84">
        <f>IF(B84="LOCAL","LOCAL","LOTE")</f>
        <v/>
      </c>
    </row>
    <row r="85" ht="15.6" customHeight="1" s="170">
      <c r="A85" s="102" t="n">
        <v>81</v>
      </c>
      <c r="B85" s="87" t="n">
        <v>48756046</v>
      </c>
      <c r="C85" s="71" t="n">
        <v>46171</v>
      </c>
      <c r="D85" s="82" t="n"/>
      <c r="E85" s="62" t="inlineStr">
        <is>
          <t>HYUNDAI</t>
        </is>
      </c>
      <c r="F85" s="63" t="inlineStr">
        <is>
          <t>ELANTRA SE</t>
        </is>
      </c>
      <c r="G85" s="113" t="n">
        <v>2019</v>
      </c>
      <c r="H85" s="88" t="inlineStr">
        <is>
          <t>TRANSITO</t>
        </is>
      </c>
      <c r="I85" s="47" t="inlineStr">
        <is>
          <t>USA-ESV</t>
        </is>
      </c>
      <c r="L85" s="166" t="n"/>
      <c r="M85" s="166" t="n"/>
      <c r="N85" s="166" t="n"/>
      <c r="O85" s="166" t="n"/>
      <c r="P85" s="166" t="n"/>
      <c r="Q85" s="166" t="n"/>
      <c r="R85" s="168" t="n"/>
      <c r="S85" s="168" t="n"/>
      <c r="T85" s="168">
        <f>IF(Q85="","",Q85-C85)</f>
        <v/>
      </c>
      <c r="U85" s="168">
        <f>IF(OR(Q85="",D85=""),"",IF(D85&lt;Q85,"REVISAR FECHA",D85-Q85))</f>
        <v/>
      </c>
      <c r="V85" s="168">
        <f>IF(D85="","",IF(D85&lt;C85,"REVISAR FECHA",D85-C85))</f>
        <v/>
      </c>
      <c r="W85" s="168" t="n">
        <v>15</v>
      </c>
      <c r="X85" s="84">
        <f>IF(H85="VENDIDO","CERRADO",IF(W85="","",IF(W85&gt;120,"CRÍTICO",IF(W85&gt;90,"ALERTA",IF(W85&gt;60,"REVISAR","NORMAL")))))</f>
        <v/>
      </c>
      <c r="Y85">
        <f>IF(D85="","",TEXT(D85,"mmmm yyyy"))</f>
        <v/>
      </c>
      <c r="Z85">
        <f>IF(B85="LOCAL","LOCAL","LOTE")</f>
        <v/>
      </c>
    </row>
    <row r="86" ht="15.6" customHeight="1" s="170">
      <c r="A86" s="102" t="n">
        <v>82</v>
      </c>
      <c r="B86" s="87" t="n">
        <v>52616616</v>
      </c>
      <c r="C86" s="71" t="n">
        <v>46171</v>
      </c>
      <c r="D86" s="82" t="n"/>
      <c r="E86" s="62" t="inlineStr">
        <is>
          <t>NISSAN</t>
        </is>
      </c>
      <c r="F86" s="63" t="inlineStr">
        <is>
          <t>VERSA NOTE SV</t>
        </is>
      </c>
      <c r="G86" s="113" t="n">
        <v>2019</v>
      </c>
      <c r="H86" s="88" t="inlineStr">
        <is>
          <t>TRANSITO</t>
        </is>
      </c>
      <c r="I86" s="47" t="inlineStr">
        <is>
          <t>USA-ESV</t>
        </is>
      </c>
      <c r="L86" s="166" t="n"/>
      <c r="M86" s="166" t="n"/>
      <c r="N86" s="166" t="n"/>
      <c r="O86" s="166" t="n"/>
      <c r="P86" s="166" t="n"/>
      <c r="Q86" s="166" t="n"/>
      <c r="R86" s="168" t="n"/>
      <c r="S86" s="168" t="n"/>
      <c r="T86" s="168">
        <f>IF(Q86="","",Q86-C86)</f>
        <v/>
      </c>
      <c r="U86" s="168">
        <f>IF(OR(Q86="",D86=""),"",IF(D86&lt;Q86,"REVISAR FECHA",D86-Q86))</f>
        <v/>
      </c>
      <c r="V86" s="168">
        <f>IF(D86="","",IF(D86&lt;C86,"REVISAR FECHA",D86-C86))</f>
        <v/>
      </c>
      <c r="W86" s="168" t="n">
        <v>15</v>
      </c>
      <c r="X86" s="84">
        <f>IF(H86="VENDIDO","CERRADO",IF(W86="","",IF(W86&gt;120,"CRÍTICO",IF(W86&gt;90,"ALERTA",IF(W86&gt;60,"REVISAR","NORMAL")))))</f>
        <v/>
      </c>
      <c r="Y86">
        <f>IF(D86="","",TEXT(D86,"mmmm yyyy"))</f>
        <v/>
      </c>
      <c r="Z86">
        <f>IF(B86="LOCAL","LOCAL","LOTE")</f>
        <v/>
      </c>
    </row>
    <row r="87" ht="15.6" customHeight="1" s="170">
      <c r="A87" s="102" t="n">
        <v>83</v>
      </c>
      <c r="B87" s="87" t="n">
        <v>45983796</v>
      </c>
      <c r="C87" s="71" t="n">
        <v>46171</v>
      </c>
      <c r="D87" s="82" t="n"/>
      <c r="E87" s="62" t="inlineStr">
        <is>
          <t>MITSUBISHI</t>
        </is>
      </c>
      <c r="F87" s="63" t="inlineStr">
        <is>
          <t>MIRAGE ES</t>
        </is>
      </c>
      <c r="G87" s="113" t="n">
        <v>2020</v>
      </c>
      <c r="H87" s="88" t="inlineStr">
        <is>
          <t>TRANSITO</t>
        </is>
      </c>
      <c r="I87" s="47" t="inlineStr">
        <is>
          <t>USA-ESV</t>
        </is>
      </c>
      <c r="L87" s="166" t="n"/>
      <c r="M87" s="166" t="n"/>
      <c r="N87" s="166" t="n"/>
      <c r="O87" s="166" t="n"/>
      <c r="P87" s="166" t="n"/>
      <c r="Q87" s="166" t="n"/>
      <c r="R87" s="168" t="n"/>
      <c r="S87" s="168" t="n"/>
      <c r="T87" s="168">
        <f>IF(Q87="","",Q87-C87)</f>
        <v/>
      </c>
      <c r="U87" s="168">
        <f>IF(OR(Q87="",D87=""),"",IF(D87&lt;Q87,"REVISAR FECHA",D87-Q87))</f>
        <v/>
      </c>
      <c r="V87" s="168">
        <f>IF(D87="","",IF(D87&lt;C87,"REVISAR FECHA",D87-C87))</f>
        <v/>
      </c>
      <c r="W87" s="168" t="n">
        <v>15</v>
      </c>
      <c r="X87" s="84">
        <f>IF(H87="VENDIDO","CERRADO",IF(W87="","",IF(W87&gt;120,"CRÍTICO",IF(W87&gt;90,"ALERTA",IF(W87&gt;60,"REVISAR","NORMAL")))))</f>
        <v/>
      </c>
      <c r="Y87">
        <f>IF(D87="","",TEXT(D87,"mmmm yyyy"))</f>
        <v/>
      </c>
      <c r="Z87">
        <f>IF(B87="LOCAL","LOCAL","LOTE")</f>
        <v/>
      </c>
    </row>
    <row r="88" ht="15.6" customHeight="1" s="170">
      <c r="A88" s="85" t="inlineStr">
        <is>
          <t>TOTAL 83 VEHICULOS PROPIOS (COMPRAS LOCALES E IMPORTACIONES) OCTUBRE 2025 - JUNIO 2026</t>
        </is>
      </c>
      <c r="B88" s="86" t="n"/>
      <c r="C88" s="86" t="n"/>
      <c r="D88" s="86" t="n"/>
      <c r="E88" s="86" t="n"/>
      <c r="F88" s="86" t="n"/>
      <c r="G88" s="86" t="n"/>
      <c r="H88" s="86" t="n"/>
      <c r="I88" s="86" t="n"/>
    </row>
  </sheetData>
  <autoFilter ref="A4:Z16"/>
  <mergeCells count="12">
    <mergeCell ref="J3:K4"/>
    <mergeCell ref="A2:I2"/>
    <mergeCell ref="J2:K2"/>
    <mergeCell ref="B3:B4"/>
    <mergeCell ref="A3:A4"/>
    <mergeCell ref="C3:C4"/>
    <mergeCell ref="R3:Z3"/>
    <mergeCell ref="H3:H4"/>
    <mergeCell ref="I3:I4"/>
    <mergeCell ref="D3:D4"/>
    <mergeCell ref="E3:G3"/>
    <mergeCell ref="L3:Q3"/>
  </mergeCells>
  <conditionalFormatting sqref="H5:H87">
    <cfRule type="expression" priority="1" dxfId="7">
      <formula>$H5="VENDIDO"</formula>
    </cfRule>
    <cfRule type="expression" priority="2" dxfId="6">
      <formula>$H5="TRANSITO"</formula>
    </cfRule>
    <cfRule type="expression" priority="3" dxfId="5">
      <formula>$H5="REPARACION"</formula>
    </cfRule>
    <cfRule type="expression" priority="4" dxfId="4">
      <formula>$H5="DISPONIBLE VENTA"</formula>
    </cfRule>
    <cfRule type="expression" priority="5" dxfId="3">
      <formula>$H5="LEGALIZACION"</formula>
    </cfRule>
    <cfRule type="expression" priority="6" dxfId="2">
      <formula>$H5="ADUANA"</formula>
    </cfRule>
    <cfRule type="expression" priority="7" dxfId="1">
      <formula>$H5="SERVICIO DE IMPORTACION"</formula>
    </cfRule>
    <cfRule type="expression" priority="8" dxfId="0">
      <formula>$H5="RESERVADOS"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0"/>
  <sheetViews>
    <sheetView tabSelected="1" workbookViewId="0">
      <selection activeCell="I20" sqref="I20"/>
    </sheetView>
  </sheetViews>
  <sheetFormatPr baseColWidth="10" defaultColWidth="8.88671875" defaultRowHeight="14.4"/>
  <cols>
    <col width="18" customWidth="1" style="170" min="1" max="2"/>
    <col width="17" customWidth="1" style="170" min="3" max="3"/>
    <col width="20" customWidth="1" style="170" min="4" max="4"/>
    <col width="18" customWidth="1" style="170" min="5" max="5"/>
    <col width="24" customWidth="1" style="170" min="6" max="6"/>
    <col width="20" customWidth="1" style="170" min="7" max="7"/>
    <col width="22" customWidth="1" style="170" min="8" max="8"/>
    <col width="16" customWidth="1" style="170" min="9" max="10"/>
    <col width="20" customWidth="1" style="170" min="11" max="11"/>
    <col width="15" customWidth="1" style="170" min="12" max="14"/>
  </cols>
  <sheetData>
    <row r="1">
      <c r="A1" s="154" t="inlineStr">
        <is>
          <t>REPORTE GERENCIAL DE INVENTARIO DE VEHÍCULOS</t>
        </is>
      </c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2">
      <c r="A2" s="160" t="inlineStr">
        <is>
          <t>Corte: 13/06/2026 | Control junio 2026 · Comparativo disponibles 25-30 mayo vs 08-13 junio</t>
        </is>
      </c>
    </row>
    <row r="4">
      <c r="A4" s="154" t="inlineStr">
        <is>
          <t>Total unidades</t>
        </is>
      </c>
      <c r="B4" s="154" t="inlineStr">
        <is>
          <t>Inventario activo</t>
        </is>
      </c>
      <c r="C4" s="154" t="inlineStr">
        <is>
          <t>Vendidos total</t>
        </is>
      </c>
      <c r="D4" s="154" t="inlineStr">
        <is>
          <t>En tránsito</t>
        </is>
      </c>
      <c r="E4" s="154" t="inlineStr">
        <is>
          <t>Disponibles</t>
        </is>
      </c>
      <c r="F4" s="154" t="inlineStr">
        <is>
          <t>Prom. días venta</t>
        </is>
      </c>
      <c r="G4" s="154" t="inlineStr">
        <is>
          <t>Marca más vendida</t>
        </is>
      </c>
      <c r="H4" s="154" t="inlineStr">
        <is>
          <t>Marca más rápida</t>
        </is>
      </c>
      <c r="I4" s="154" t="inlineStr">
        <is>
          <t>Críticos +120</t>
        </is>
      </c>
      <c r="K4" s="161" t="inlineStr">
        <is>
          <t>El % activo excluye vendidos. El % general incluye vendidos dentro del 100% total.</t>
        </is>
      </c>
    </row>
    <row r="5" ht="15.6" customHeight="1" s="170">
      <c r="A5" s="135" t="n">
        <v>83</v>
      </c>
      <c r="B5" s="135" t="n">
        <v>58</v>
      </c>
      <c r="C5" s="135" t="n">
        <v>25</v>
      </c>
      <c r="D5" s="135" t="n">
        <v>27</v>
      </c>
      <c r="E5" s="135" t="n">
        <v>8</v>
      </c>
      <c r="F5" s="136" t="n">
        <v>99.5</v>
      </c>
      <c r="G5" s="137" t="inlineStr">
        <is>
          <t>KIA, MITSUBISHI</t>
        </is>
      </c>
      <c r="H5" s="137" t="inlineStr">
        <is>
          <t>NISSAN</t>
        </is>
      </c>
      <c r="I5" s="135" t="n">
        <v>7</v>
      </c>
    </row>
    <row r="8">
      <c r="A8" s="162" t="inlineStr">
        <is>
          <t>ESTATUS ACTIVO — 100% SIN VENDIDOS</t>
        </is>
      </c>
      <c r="H8" s="163" t="inlineStr">
        <is>
          <t>ESTATUS GENERAL — 100% INCLUYE VENDIDOS</t>
        </is>
      </c>
    </row>
    <row r="9">
      <c r="A9" s="154" t="inlineStr">
        <is>
          <t>Estatus</t>
        </is>
      </c>
      <c r="B9" s="154" t="inlineStr">
        <is>
          <t>Cantidad</t>
        </is>
      </c>
      <c r="C9" s="131" t="inlineStr">
        <is>
          <t>% activo</t>
        </is>
      </c>
      <c r="H9" s="154" t="inlineStr">
        <is>
          <t>Estatus</t>
        </is>
      </c>
      <c r="I9" s="154" t="inlineStr">
        <is>
          <t>Cantidad</t>
        </is>
      </c>
      <c r="J9" s="131" t="inlineStr">
        <is>
          <t>% total</t>
        </is>
      </c>
    </row>
    <row r="10">
      <c r="A10" t="inlineStr">
        <is>
          <t>TRANSITO</t>
        </is>
      </c>
      <c r="B10" t="n">
        <v>27</v>
      </c>
      <c r="C10" s="169" t="n">
        <v>0.4655172413793103</v>
      </c>
      <c r="H10" t="inlineStr">
        <is>
          <t>TRANSITO</t>
        </is>
      </c>
      <c r="I10" t="n">
        <v>27</v>
      </c>
      <c r="J10" s="169" t="n">
        <v>0.3253012048192771</v>
      </c>
    </row>
    <row r="11">
      <c r="A11" t="inlineStr">
        <is>
          <t>REPARACION</t>
        </is>
      </c>
      <c r="B11" t="n">
        <v>12</v>
      </c>
      <c r="C11" s="169" t="n">
        <v>0.2068965517241379</v>
      </c>
      <c r="H11" t="inlineStr">
        <is>
          <t>VENDIDO</t>
        </is>
      </c>
      <c r="I11" t="n">
        <v>25</v>
      </c>
      <c r="J11" s="169" t="n">
        <v>0.3012048192771085</v>
      </c>
    </row>
    <row r="12">
      <c r="A12" t="inlineStr">
        <is>
          <t>DISPONIBLE VENTA</t>
        </is>
      </c>
      <c r="B12" t="n">
        <v>8</v>
      </c>
      <c r="C12" s="169" t="n">
        <v>0.1379310344827586</v>
      </c>
      <c r="H12" t="inlineStr">
        <is>
          <t>REPARACION</t>
        </is>
      </c>
      <c r="I12" t="n">
        <v>12</v>
      </c>
      <c r="J12" s="169" t="n">
        <v>0.144578313253012</v>
      </c>
    </row>
    <row r="13">
      <c r="A13" t="inlineStr">
        <is>
          <t>LEGALIZACION</t>
        </is>
      </c>
      <c r="B13" t="n">
        <v>6</v>
      </c>
      <c r="C13" s="169" t="n">
        <v>0.103448275862069</v>
      </c>
      <c r="H13" t="inlineStr">
        <is>
          <t>DISPONIBLE VENTA</t>
        </is>
      </c>
      <c r="I13" t="n">
        <v>8</v>
      </c>
      <c r="J13" s="169" t="n">
        <v>0.0963855421686747</v>
      </c>
    </row>
    <row r="14">
      <c r="A14" t="inlineStr">
        <is>
          <t>ADUANA</t>
        </is>
      </c>
      <c r="B14" t="n">
        <v>3</v>
      </c>
      <c r="C14" s="169" t="n">
        <v>0.05172413793103448</v>
      </c>
      <c r="H14" t="inlineStr">
        <is>
          <t>LEGALIZACION</t>
        </is>
      </c>
      <c r="I14" t="n">
        <v>6</v>
      </c>
      <c r="J14" s="169" t="n">
        <v>0.07228915662650602</v>
      </c>
    </row>
    <row r="15">
      <c r="A15" t="inlineStr">
        <is>
          <t>SERVICIO DE IMPORTACION</t>
        </is>
      </c>
      <c r="B15" t="n">
        <v>2</v>
      </c>
      <c r="C15" s="169" t="n">
        <v>0.03448275862068965</v>
      </c>
      <c r="H15" t="inlineStr">
        <is>
          <t>ADUANA</t>
        </is>
      </c>
      <c r="I15" t="n">
        <v>3</v>
      </c>
      <c r="J15" s="169" t="n">
        <v>0.03614457831325301</v>
      </c>
    </row>
    <row r="16">
      <c r="C16" s="169" t="n"/>
      <c r="H16" t="inlineStr">
        <is>
          <t>SERVICIO DE IMPORTACION</t>
        </is>
      </c>
      <c r="I16" t="n">
        <v>2</v>
      </c>
      <c r="J16" s="169" t="n">
        <v>0.02409638554216868</v>
      </c>
    </row>
    <row r="25">
      <c r="A25" s="154" t="inlineStr">
        <is>
          <t>VENTAS POR MES, % Y VARIACIÓN MENSUAL</t>
        </is>
      </c>
    </row>
    <row r="26" ht="28.8" customHeight="1" s="170">
      <c r="A26" s="154" t="inlineStr">
        <is>
          <t>Mes</t>
        </is>
      </c>
      <c r="B26" s="154" t="inlineStr">
        <is>
          <t>Vendidos</t>
        </is>
      </c>
      <c r="C26" s="154" t="inlineStr">
        <is>
          <t>% vendidos</t>
        </is>
      </c>
      <c r="D26" s="154" t="inlineStr">
        <is>
          <t>Variación vs mes anterior</t>
        </is>
      </c>
      <c r="E26" s="154" t="inlineStr">
        <is>
          <t>Tendencia</t>
        </is>
      </c>
      <c r="F26" s="154" t="inlineStr">
        <is>
          <t>Marcas vendidas</t>
        </is>
      </c>
    </row>
    <row r="27">
      <c r="A27" t="inlineStr">
        <is>
          <t>Noviembre 2025</t>
        </is>
      </c>
      <c r="B27" s="168" t="n">
        <v>2</v>
      </c>
      <c r="C27" s="169" t="n">
        <v>0.08</v>
      </c>
      <c r="D27" s="169" t="n"/>
      <c r="E27" t="inlineStr">
        <is>
          <t>Sin comparación</t>
        </is>
      </c>
      <c r="F27" t="inlineStr">
        <is>
          <t>KIA (1), MITSUBISHI (1)</t>
        </is>
      </c>
    </row>
    <row r="28">
      <c r="A28" t="inlineStr">
        <is>
          <t>Diciembre 2025</t>
        </is>
      </c>
      <c r="B28" s="168" t="n">
        <v>2</v>
      </c>
      <c r="C28" s="169" t="n">
        <v>0.08</v>
      </c>
      <c r="D28" s="169" t="n">
        <v>0</v>
      </c>
      <c r="E28" t="inlineStr">
        <is>
          <t>Se mantuvo</t>
        </is>
      </c>
      <c r="F28" t="inlineStr">
        <is>
          <t>HONDA (1), SUZUKI (1)</t>
        </is>
      </c>
    </row>
    <row r="29">
      <c r="A29" t="inlineStr">
        <is>
          <t>Enero 2026</t>
        </is>
      </c>
      <c r="B29" s="168" t="n">
        <v>1</v>
      </c>
      <c r="C29" s="169" t="n">
        <v>0.04</v>
      </c>
      <c r="D29" s="169" t="n">
        <v>-0.5</v>
      </c>
      <c r="E29" t="inlineStr">
        <is>
          <t>Bajó</t>
        </is>
      </c>
      <c r="F29" t="inlineStr">
        <is>
          <t>NISSAN (1)</t>
        </is>
      </c>
    </row>
    <row r="30">
      <c r="A30" t="inlineStr">
        <is>
          <t>Febrero 2026</t>
        </is>
      </c>
      <c r="B30" s="168" t="n">
        <v>5</v>
      </c>
      <c r="C30" s="169" t="n">
        <v>0.2</v>
      </c>
      <c r="D30" s="169" t="n">
        <v>4</v>
      </c>
      <c r="E30" t="inlineStr">
        <is>
          <t>Subió</t>
        </is>
      </c>
      <c r="F30" t="inlineStr">
        <is>
          <t>KIA (2), NISSAN (2), HYUNDAI (1)</t>
        </is>
      </c>
    </row>
    <row r="31">
      <c r="A31" t="inlineStr">
        <is>
          <t>Marzo 2026</t>
        </is>
      </c>
      <c r="B31" s="168" t="n">
        <v>8</v>
      </c>
      <c r="C31" s="169" t="n">
        <v>0.32</v>
      </c>
      <c r="D31" s="169" t="n">
        <v>0.6</v>
      </c>
      <c r="E31" t="inlineStr">
        <is>
          <t>Subió</t>
        </is>
      </c>
      <c r="F31" t="inlineStr">
        <is>
          <t>HYUNDAI (3), KIA (3), MITSUBISHI (2)</t>
        </is>
      </c>
    </row>
    <row r="32">
      <c r="A32" t="inlineStr">
        <is>
          <t>Abril 2026</t>
        </is>
      </c>
      <c r="B32" s="168" t="n">
        <v>5</v>
      </c>
      <c r="C32" s="169" t="n">
        <v>0.2</v>
      </c>
      <c r="D32" s="169" t="n">
        <v>-0.375</v>
      </c>
      <c r="E32" t="inlineStr">
        <is>
          <t>Bajó</t>
        </is>
      </c>
      <c r="F32" t="inlineStr">
        <is>
          <t>MITSUBISHI (4), KIA (1)</t>
        </is>
      </c>
    </row>
    <row r="33">
      <c r="A33" t="inlineStr">
        <is>
          <t>Mayo 2026</t>
        </is>
      </c>
      <c r="B33" s="168" t="n">
        <v>0</v>
      </c>
      <c r="C33" s="169" t="n">
        <v>0</v>
      </c>
      <c r="D33" s="169" t="n">
        <v>-1</v>
      </c>
      <c r="E33" t="inlineStr">
        <is>
          <t>Bajó</t>
        </is>
      </c>
      <c r="F33" t="inlineStr">
        <is>
          <t>Sin ventas</t>
        </is>
      </c>
    </row>
    <row r="34">
      <c r="A34" t="inlineStr">
        <is>
          <t>Junio 2026</t>
        </is>
      </c>
      <c r="B34" s="168" t="n">
        <v>2</v>
      </c>
      <c r="C34" s="169" t="n">
        <v>0.08</v>
      </c>
      <c r="D34" s="169" t="n"/>
      <c r="E34" t="inlineStr">
        <is>
          <t>Sin base anterior</t>
        </is>
      </c>
      <c r="F34" t="inlineStr">
        <is>
          <t>NISSAN (2)</t>
        </is>
      </c>
    </row>
    <row r="45" ht="28.8" customHeight="1" s="170">
      <c r="A45" s="154" t="inlineStr">
        <is>
          <t>MARCAS QUE MÁS SE VENDIERON</t>
        </is>
      </c>
      <c r="B45" s="154" t="n"/>
      <c r="C45" s="154" t="n"/>
    </row>
    <row r="46">
      <c r="A46" s="154" t="inlineStr">
        <is>
          <t>Marca</t>
        </is>
      </c>
      <c r="H46" s="155" t="n"/>
    </row>
    <row r="47">
      <c r="A47" s="59" t="inlineStr">
        <is>
          <t>KIA</t>
        </is>
      </c>
      <c r="B47" s="126" t="n">
        <v>7</v>
      </c>
      <c r="C47" s="125" t="n">
        <v>0.28</v>
      </c>
      <c r="H47" s="61" t="n"/>
      <c r="I47" s="61" t="n"/>
      <c r="J47" s="61" t="n"/>
    </row>
    <row r="48">
      <c r="A48" t="inlineStr">
        <is>
          <t>MITSUBISHI</t>
        </is>
      </c>
      <c r="B48" s="168" t="n">
        <v>7</v>
      </c>
      <c r="C48" s="169" t="n">
        <v>0.28</v>
      </c>
      <c r="J48" s="169" t="n"/>
    </row>
    <row r="49">
      <c r="A49" t="inlineStr">
        <is>
          <t>NISSAN</t>
        </is>
      </c>
      <c r="B49" s="168" t="n">
        <v>5</v>
      </c>
      <c r="C49" s="169" t="n">
        <v>0.2</v>
      </c>
      <c r="J49" s="169" t="n"/>
    </row>
    <row r="50">
      <c r="A50" t="inlineStr">
        <is>
          <t>HYUNDAI</t>
        </is>
      </c>
      <c r="B50" s="168" t="n">
        <v>4</v>
      </c>
      <c r="C50" s="169" t="n">
        <v>0.16</v>
      </c>
      <c r="J50" s="169" t="n"/>
    </row>
    <row r="51">
      <c r="A51" t="inlineStr">
        <is>
          <t>HONDA</t>
        </is>
      </c>
      <c r="B51" s="168" t="n">
        <v>1</v>
      </c>
      <c r="C51" s="169" t="n">
        <v>0.04</v>
      </c>
      <c r="J51" s="169" t="n"/>
    </row>
    <row r="52">
      <c r="A52" t="inlineStr">
        <is>
          <t>SUZUKI</t>
        </is>
      </c>
      <c r="B52" s="168" t="n">
        <v>1</v>
      </c>
      <c r="C52" s="169" t="n">
        <v>0.04</v>
      </c>
      <c r="J52" s="169" t="n"/>
    </row>
    <row r="53">
      <c r="B53" s="168" t="n"/>
      <c r="C53" s="169" t="n"/>
    </row>
    <row r="54">
      <c r="B54" s="168" t="n"/>
      <c r="C54" s="169" t="n"/>
    </row>
    <row r="55">
      <c r="B55" s="168" t="n"/>
      <c r="C55" s="169" t="n"/>
    </row>
    <row r="56">
      <c r="B56" s="168" t="n"/>
      <c r="C56" s="169" t="n"/>
    </row>
    <row r="58" ht="43.2" customHeight="1" s="170">
      <c r="A58" s="154" t="inlineStr">
        <is>
          <t>MARCAS EN INVENTARIO ACTIVO</t>
        </is>
      </c>
      <c r="B58" s="154" t="n"/>
      <c r="C58" s="154" t="n"/>
      <c r="E58" s="154" t="inlineStr">
        <is>
          <t>HISTORIAL DISPONIBLE PARA VENTA</t>
        </is>
      </c>
      <c r="F58" s="154" t="n"/>
      <c r="G58" s="154" t="n"/>
      <c r="H58" s="154" t="n"/>
    </row>
    <row r="59">
      <c r="A59" s="154" t="inlineStr">
        <is>
          <t>Marca</t>
        </is>
      </c>
      <c r="B59" s="154" t="inlineStr">
        <is>
          <t>Unidades activas</t>
        </is>
      </c>
      <c r="C59" s="154" t="inlineStr">
        <is>
          <t>% activo</t>
        </is>
      </c>
      <c r="E59" s="154" t="inlineStr">
        <is>
          <t>Semana</t>
        </is>
      </c>
      <c r="F59" s="154" t="inlineStr">
        <is>
          <t>Disponibles</t>
        </is>
      </c>
      <c r="G59" s="154" t="inlineStr">
        <is>
          <t>Variación</t>
        </is>
      </c>
      <c r="H59" s="154" t="inlineStr">
        <is>
          <t>Comentario</t>
        </is>
      </c>
    </row>
    <row r="60">
      <c r="A60" t="inlineStr">
        <is>
          <t>HYUNDAI</t>
        </is>
      </c>
      <c r="B60" s="168" t="n">
        <v>15</v>
      </c>
      <c r="C60" s="169" t="n">
        <v>0.2586206896551724</v>
      </c>
      <c r="E60" t="inlineStr">
        <is>
          <t>25-30 mayo 2026</t>
        </is>
      </c>
      <c r="F60" s="168" t="n">
        <v>8</v>
      </c>
      <c r="H60" t="inlineStr">
        <is>
          <t>Base anterior</t>
        </is>
      </c>
    </row>
    <row r="61">
      <c r="A61" t="inlineStr">
        <is>
          <t>KIA</t>
        </is>
      </c>
      <c r="B61" s="168" t="n">
        <v>13</v>
      </c>
      <c r="C61" s="169" t="n">
        <v>0.2241379310344828</v>
      </c>
      <c r="E61" t="inlineStr">
        <is>
          <t>08-13 junio 2026</t>
        </is>
      </c>
      <c r="F61" s="168" t="n">
        <v>8</v>
      </c>
      <c r="G61" t="n">
        <v>0</v>
      </c>
      <c r="H61" t="inlineStr">
        <is>
          <t>Se mantiene igual</t>
        </is>
      </c>
    </row>
    <row r="62">
      <c r="A62" t="inlineStr">
        <is>
          <t>NISSAN</t>
        </is>
      </c>
      <c r="B62" s="168" t="n">
        <v>13</v>
      </c>
      <c r="C62" s="169" t="n">
        <v>0.2241379310344828</v>
      </c>
      <c r="E62" t="inlineStr">
        <is>
          <t>Entraron a disponible</t>
        </is>
      </c>
      <c r="F62" s="168" t="n">
        <v>2</v>
      </c>
      <c r="H62" t="inlineStr">
        <is>
          <t>39, 44</t>
        </is>
      </c>
    </row>
    <row r="63">
      <c r="A63" t="inlineStr">
        <is>
          <t>CHEVROLET</t>
        </is>
      </c>
      <c r="B63" s="168" t="n">
        <v>7</v>
      </c>
      <c r="C63" s="169" t="n">
        <v>0.1206896551724138</v>
      </c>
      <c r="E63" t="inlineStr">
        <is>
          <t>Salieron de disponible</t>
        </is>
      </c>
      <c r="F63" s="168" t="n">
        <v>2</v>
      </c>
      <c r="H63" t="inlineStr">
        <is>
          <t>34, 38</t>
        </is>
      </c>
    </row>
    <row r="64">
      <c r="A64" s="167" t="inlineStr">
        <is>
          <t>FORD</t>
        </is>
      </c>
      <c r="B64" s="168" t="n">
        <v>4</v>
      </c>
      <c r="C64" s="169" t="n">
        <v>0.06896551724137931</v>
      </c>
      <c r="E64" t="inlineStr">
        <is>
          <t>Se mantienen disponibles</t>
        </is>
      </c>
      <c r="F64" s="168" t="n">
        <v>6</v>
      </c>
      <c r="H64" t="inlineStr">
        <is>
          <t>10, 27, 28, 30, 32, 65</t>
        </is>
      </c>
    </row>
    <row r="65">
      <c r="A65" t="inlineStr">
        <is>
          <t>MITSUBISHI</t>
        </is>
      </c>
      <c r="B65" s="168" t="n">
        <v>3</v>
      </c>
      <c r="C65" s="169" t="n">
        <v>0.05172413793103448</v>
      </c>
    </row>
    <row r="66">
      <c r="A66" t="inlineStr">
        <is>
          <t>JEEP</t>
        </is>
      </c>
      <c r="B66" s="168" t="n">
        <v>1</v>
      </c>
      <c r="C66" s="169" t="n">
        <v>0.01724137931034483</v>
      </c>
    </row>
    <row r="67">
      <c r="A67" t="inlineStr">
        <is>
          <t>MAZDA</t>
        </is>
      </c>
      <c r="B67" s="168" t="n">
        <v>1</v>
      </c>
      <c r="C67" s="169" t="n">
        <v>0.01724137931034483</v>
      </c>
    </row>
    <row r="68">
      <c r="A68" t="inlineStr">
        <is>
          <t>TOYOTA</t>
        </is>
      </c>
      <c r="B68" s="168" t="n">
        <v>1</v>
      </c>
      <c r="C68" s="169" t="n">
        <v>0.01724137931034483</v>
      </c>
    </row>
    <row r="69">
      <c r="B69" s="168" t="n"/>
      <c r="C69" s="169" t="n"/>
    </row>
    <row r="70">
      <c r="B70" s="168" t="n"/>
      <c r="C70" s="169" t="n"/>
    </row>
  </sheetData>
  <mergeCells count="8">
    <mergeCell ref="H46:J46"/>
    <mergeCell ref="A46:C46"/>
    <mergeCell ref="A8:C8"/>
    <mergeCell ref="A2:N2"/>
    <mergeCell ref="H8:J8"/>
    <mergeCell ref="K4:N5"/>
    <mergeCell ref="A25:F25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0"/>
  <sheetViews>
    <sheetView topLeftCell="A73" zoomScale="73" workbookViewId="0">
      <selection activeCell="G76" sqref="G76"/>
    </sheetView>
  </sheetViews>
  <sheetFormatPr baseColWidth="10" defaultColWidth="8.88671875" defaultRowHeight="14.4"/>
  <cols>
    <col width="18" customWidth="1" style="170" min="1" max="12"/>
    <col width="16" customWidth="1" style="170" min="13" max="14"/>
  </cols>
  <sheetData>
    <row r="1">
      <c r="A1" s="154" t="inlineStr">
        <is>
          <t>REPORTES DETALLE — JUNIO 2026 · VENTAS, ROTACIÓN, DISPONIBLES E INVENTARIO CRÍTICO</t>
        </is>
      </c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3">
      <c r="A3" s="154" t="inlineStr">
        <is>
          <t>TOP 10 VEHÍCULOS VENDIDOS MÁS RÁPIDO</t>
        </is>
      </c>
      <c r="K3" s="154" t="n"/>
      <c r="L3" s="154" t="n"/>
    </row>
    <row r="4">
      <c r="A4" s="154" t="inlineStr">
        <is>
          <t>No.</t>
        </is>
      </c>
      <c r="B4" s="154" t="inlineStr">
        <is>
          <t>Tipo compra</t>
        </is>
      </c>
      <c r="C4" s="154" t="inlineStr">
        <is>
          <t>Local</t>
        </is>
      </c>
      <c r="D4" s="154" t="inlineStr">
        <is>
          <t>Lote</t>
        </is>
      </c>
      <c r="E4" s="154" t="inlineStr">
        <is>
          <t>Marca</t>
        </is>
      </c>
      <c r="F4" s="154" t="inlineStr">
        <is>
          <t>Modelo</t>
        </is>
      </c>
      <c r="G4" s="154" t="inlineStr">
        <is>
          <t>Año</t>
        </is>
      </c>
      <c r="H4" s="154" t="inlineStr">
        <is>
          <t>Fecha compra</t>
        </is>
      </c>
      <c r="I4" s="154" t="inlineStr">
        <is>
          <t>Fecha venta</t>
        </is>
      </c>
      <c r="J4" s="154" t="inlineStr">
        <is>
          <t>Días compra→venta</t>
        </is>
      </c>
      <c r="K4" s="154" t="inlineStr">
        <is>
          <t>Cliente/observación</t>
        </is>
      </c>
    </row>
    <row r="5">
      <c r="A5" t="n">
        <v>21</v>
      </c>
      <c r="B5" t="inlineStr">
        <is>
          <t>LOCAL</t>
        </is>
      </c>
      <c r="C5" t="inlineStr">
        <is>
          <t>SI</t>
        </is>
      </c>
      <c r="D5" t="inlineStr">
        <is>
          <t>NO</t>
        </is>
      </c>
      <c r="E5" t="inlineStr">
        <is>
          <t>HONDA</t>
        </is>
      </c>
      <c r="F5" t="inlineStr">
        <is>
          <t>FIT SPORT</t>
        </is>
      </c>
      <c r="G5" t="n">
        <v>2016</v>
      </c>
      <c r="H5" s="166" t="n">
        <v>45995</v>
      </c>
      <c r="I5" s="166" t="n">
        <v>46003</v>
      </c>
      <c r="J5" s="168" t="n">
        <v>8</v>
      </c>
      <c r="K5" t="inlineStr">
        <is>
          <t>LIC. JUAN ARMANDO MATA</t>
        </is>
      </c>
    </row>
    <row r="6">
      <c r="A6" t="n">
        <v>25</v>
      </c>
      <c r="B6" t="inlineStr">
        <is>
          <t>LOCAL</t>
        </is>
      </c>
      <c r="C6" t="inlineStr">
        <is>
          <t>SI</t>
        </is>
      </c>
      <c r="D6" t="inlineStr">
        <is>
          <t>NO</t>
        </is>
      </c>
      <c r="E6" t="inlineStr">
        <is>
          <t>NISSAN</t>
        </is>
      </c>
      <c r="F6" t="inlineStr">
        <is>
          <t>PATHFINDER SL</t>
        </is>
      </c>
      <c r="G6" t="n">
        <v>2023</v>
      </c>
      <c r="H6" s="166" t="n">
        <v>46017</v>
      </c>
      <c r="I6" s="166" t="n">
        <v>46029</v>
      </c>
      <c r="J6" s="168" t="n">
        <v>12</v>
      </c>
      <c r="K6" t="inlineStr">
        <is>
          <t>HYP CAR SERVICES S.A. DE C.V.</t>
        </is>
      </c>
    </row>
    <row r="7">
      <c r="A7" t="n">
        <v>8</v>
      </c>
      <c r="B7" t="inlineStr">
        <is>
          <t>LOCAL</t>
        </is>
      </c>
      <c r="C7" t="inlineStr">
        <is>
          <t>SI</t>
        </is>
      </c>
      <c r="D7" t="inlineStr">
        <is>
          <t>NO</t>
        </is>
      </c>
      <c r="E7" t="inlineStr">
        <is>
          <t>MITSUBISHI</t>
        </is>
      </c>
      <c r="F7" t="inlineStr">
        <is>
          <t>OUTLANDER SPORT</t>
        </is>
      </c>
      <c r="G7" t="n">
        <v>2020</v>
      </c>
      <c r="H7" s="166" t="n">
        <v>45964</v>
      </c>
      <c r="I7" s="166" t="n">
        <v>45987</v>
      </c>
      <c r="J7" s="168" t="n">
        <v>23</v>
      </c>
      <c r="K7" t="inlineStr">
        <is>
          <t>TATIANA KARINA ORELLANA DE MANZANO</t>
        </is>
      </c>
    </row>
    <row r="8">
      <c r="A8" t="n">
        <v>12</v>
      </c>
      <c r="B8" t="inlineStr">
        <is>
          <t>LOCAL</t>
        </is>
      </c>
      <c r="C8" t="inlineStr">
        <is>
          <t>SI</t>
        </is>
      </c>
      <c r="D8" t="inlineStr">
        <is>
          <t>NO</t>
        </is>
      </c>
      <c r="E8" t="inlineStr">
        <is>
          <t>SUZUKI</t>
        </is>
      </c>
      <c r="F8" t="inlineStr">
        <is>
          <t>VSTROM 250SX</t>
        </is>
      </c>
      <c r="G8" t="n">
        <v>2026</v>
      </c>
      <c r="H8" s="166" t="n">
        <v>45979</v>
      </c>
      <c r="I8" s="166" t="n">
        <v>46007</v>
      </c>
      <c r="J8" s="168" t="n">
        <v>28</v>
      </c>
      <c r="K8" t="inlineStr">
        <is>
          <t>GUILLERMO ARTURO MORENO BARRERA</t>
        </is>
      </c>
    </row>
    <row r="9">
      <c r="A9" t="n">
        <v>1</v>
      </c>
      <c r="B9" t="inlineStr">
        <is>
          <t>LOCAL</t>
        </is>
      </c>
      <c r="C9" t="inlineStr">
        <is>
          <t>SI</t>
        </is>
      </c>
      <c r="D9" t="inlineStr">
        <is>
          <t>NO</t>
        </is>
      </c>
      <c r="E9" t="inlineStr">
        <is>
          <t>KIA</t>
        </is>
      </c>
      <c r="F9" t="inlineStr">
        <is>
          <t>RIO S</t>
        </is>
      </c>
      <c r="G9" t="n">
        <v>2020</v>
      </c>
      <c r="H9" s="166" t="n">
        <v>45948</v>
      </c>
      <c r="I9" s="166" t="n">
        <v>45979</v>
      </c>
      <c r="J9" s="168" t="n">
        <v>31</v>
      </c>
      <c r="K9" t="inlineStr">
        <is>
          <t>MARIA GLORIBEL MONICO MEJIA</t>
        </is>
      </c>
    </row>
    <row r="10">
      <c r="A10" t="n">
        <v>26</v>
      </c>
      <c r="B10" t="inlineStr">
        <is>
          <t>LOTE</t>
        </is>
      </c>
      <c r="C10" t="inlineStr">
        <is>
          <t>NO</t>
        </is>
      </c>
      <c r="D10" t="inlineStr">
        <is>
          <t>SI</t>
        </is>
      </c>
      <c r="E10" t="inlineStr">
        <is>
          <t>KIA</t>
        </is>
      </c>
      <c r="F10" t="inlineStr">
        <is>
          <t>FORTE WHITE</t>
        </is>
      </c>
      <c r="G10" t="n">
        <v>2019</v>
      </c>
      <c r="H10" s="166" t="n">
        <v>46028</v>
      </c>
      <c r="I10" s="166" t="n">
        <v>46108</v>
      </c>
      <c r="J10" s="168" t="n">
        <v>80</v>
      </c>
      <c r="K10" t="inlineStr">
        <is>
          <t>HYP CAR SERVICES S.A. DE C.V.</t>
        </is>
      </c>
    </row>
    <row r="11">
      <c r="A11" t="n">
        <v>24</v>
      </c>
      <c r="B11" t="inlineStr">
        <is>
          <t>LOTE</t>
        </is>
      </c>
      <c r="C11" t="inlineStr">
        <is>
          <t>NO</t>
        </is>
      </c>
      <c r="D11" t="inlineStr">
        <is>
          <t>SI</t>
        </is>
      </c>
      <c r="E11" t="inlineStr">
        <is>
          <t>NISSAN</t>
        </is>
      </c>
      <c r="F11" t="inlineStr">
        <is>
          <t>KICKS S BLACK</t>
        </is>
      </c>
      <c r="G11" t="n">
        <v>2019</v>
      </c>
      <c r="H11" s="166" t="n">
        <v>45996</v>
      </c>
      <c r="I11" s="166" t="n">
        <v>46080</v>
      </c>
      <c r="J11" s="168" t="n">
        <v>84</v>
      </c>
      <c r="K11" t="inlineStr">
        <is>
          <t>TATIANA KARINA ORELLANA DE MANZANO</t>
        </is>
      </c>
    </row>
    <row r="12">
      <c r="A12" t="n">
        <v>38</v>
      </c>
      <c r="B12" t="inlineStr">
        <is>
          <t>LOTE</t>
        </is>
      </c>
      <c r="C12" t="inlineStr">
        <is>
          <t>NO</t>
        </is>
      </c>
      <c r="D12" t="inlineStr">
        <is>
          <t>SI</t>
        </is>
      </c>
      <c r="E12" t="inlineStr">
        <is>
          <t>NISSAN</t>
        </is>
      </c>
      <c r="F12" t="inlineStr">
        <is>
          <t>VERSA SV</t>
        </is>
      </c>
      <c r="G12" t="n">
        <v>2021</v>
      </c>
      <c r="H12" s="166" t="n">
        <v>46090</v>
      </c>
      <c r="I12" s="166" t="n">
        <v>46177</v>
      </c>
      <c r="J12" s="168" t="n">
        <v>87</v>
      </c>
      <c r="K12" t="inlineStr">
        <is>
          <t>VENDIDO AL CONTADO</t>
        </is>
      </c>
    </row>
    <row r="13">
      <c r="A13" t="n">
        <v>13</v>
      </c>
      <c r="B13" t="inlineStr">
        <is>
          <t>LOTE</t>
        </is>
      </c>
      <c r="C13" t="inlineStr">
        <is>
          <t>NO</t>
        </is>
      </c>
      <c r="D13" t="inlineStr">
        <is>
          <t>SI</t>
        </is>
      </c>
      <c r="E13" t="inlineStr">
        <is>
          <t>KIA</t>
        </is>
      </c>
      <c r="F13" t="inlineStr">
        <is>
          <t>RIO LX</t>
        </is>
      </c>
      <c r="G13" t="n">
        <v>2022</v>
      </c>
      <c r="H13" s="166" t="n">
        <v>45979</v>
      </c>
      <c r="I13" s="166" t="n">
        <v>46077</v>
      </c>
      <c r="J13" s="168" t="n">
        <v>98</v>
      </c>
      <c r="K13" t="inlineStr">
        <is>
          <t>HYP CAR SERVICES S.A. DE C.V.</t>
        </is>
      </c>
    </row>
    <row r="14">
      <c r="A14" t="n">
        <v>34</v>
      </c>
      <c r="B14" t="inlineStr">
        <is>
          <t>LOTE</t>
        </is>
      </c>
      <c r="C14" t="inlineStr">
        <is>
          <t>NO</t>
        </is>
      </c>
      <c r="D14" t="inlineStr">
        <is>
          <t>SI</t>
        </is>
      </c>
      <c r="E14" t="inlineStr">
        <is>
          <t>NISSAN</t>
        </is>
      </c>
      <c r="F14" t="inlineStr">
        <is>
          <t>SENTRA S</t>
        </is>
      </c>
      <c r="G14" t="n">
        <v>2022</v>
      </c>
      <c r="H14" s="166" t="n">
        <v>46077</v>
      </c>
      <c r="I14" s="166" t="n">
        <v>46176</v>
      </c>
      <c r="J14" s="168" t="n">
        <v>99</v>
      </c>
      <c r="K14" t="inlineStr">
        <is>
          <t>WALTER ADILSON ZEPEDA RIVAS</t>
        </is>
      </c>
    </row>
    <row r="18">
      <c r="A18" s="164" t="n"/>
      <c r="E18" s="140" t="n"/>
      <c r="I18" s="163" t="n"/>
    </row>
    <row r="19" ht="43.2" customHeight="1" s="170">
      <c r="A19" s="154" t="inlineStr">
        <is>
          <t>MARCAS QUE MÁS SE VENDIERON</t>
        </is>
      </c>
      <c r="B19" s="154" t="n"/>
      <c r="C19" s="154" t="n"/>
      <c r="E19" s="154" t="inlineStr">
        <is>
          <t>MARCAS CON VENTA MÁS RÁPIDA</t>
        </is>
      </c>
      <c r="F19" s="154" t="n"/>
      <c r="G19" s="154" t="n"/>
      <c r="I19" s="154" t="inlineStr">
        <is>
          <t>MODELOS MÁS VENDIDOS</t>
        </is>
      </c>
      <c r="J19" s="154" t="n"/>
      <c r="K19" s="154" t="n"/>
      <c r="L19" s="154" t="n"/>
    </row>
    <row r="20">
      <c r="A20" s="154" t="inlineStr">
        <is>
          <t>Marca</t>
        </is>
      </c>
      <c r="B20" s="154" t="inlineStr">
        <is>
          <t>Vendidos</t>
        </is>
      </c>
      <c r="C20" s="131" t="inlineStr">
        <is>
          <t>% sobre vendidos</t>
        </is>
      </c>
      <c r="E20" s="154" t="inlineStr">
        <is>
          <t>Marca</t>
        </is>
      </c>
      <c r="F20" s="154" t="inlineStr">
        <is>
          <t>Vendidos válidos</t>
        </is>
      </c>
      <c r="G20" s="134" t="inlineStr">
        <is>
          <t>Promedio días</t>
        </is>
      </c>
      <c r="I20" s="154" t="inlineStr">
        <is>
          <t>Marca</t>
        </is>
      </c>
      <c r="J20" s="154" t="inlineStr">
        <is>
          <t>Modelo</t>
        </is>
      </c>
      <c r="K20" s="154" t="inlineStr">
        <is>
          <t>Vendidos</t>
        </is>
      </c>
      <c r="L20" s="131" t="inlineStr">
        <is>
          <t>% vendido</t>
        </is>
      </c>
    </row>
    <row r="21">
      <c r="A21" t="inlineStr">
        <is>
          <t>KIA</t>
        </is>
      </c>
      <c r="B21" t="n">
        <v>7</v>
      </c>
      <c r="C21" s="169" t="n">
        <v>0.28</v>
      </c>
      <c r="E21" t="inlineStr">
        <is>
          <t>NISSAN</t>
        </is>
      </c>
      <c r="F21" t="n">
        <v>5</v>
      </c>
      <c r="G21" s="83" t="n">
        <v>77.59999999999999</v>
      </c>
      <c r="I21" t="inlineStr">
        <is>
          <t>MITSUBISHI</t>
        </is>
      </c>
      <c r="J21" t="inlineStr">
        <is>
          <t>MIRAGE</t>
        </is>
      </c>
      <c r="K21" t="n">
        <v>3</v>
      </c>
      <c r="L21" s="169" t="n">
        <v>0.12</v>
      </c>
    </row>
    <row r="22">
      <c r="A22" t="inlineStr">
        <is>
          <t>MITSUBISHI</t>
        </is>
      </c>
      <c r="B22" t="n">
        <v>7</v>
      </c>
      <c r="C22" s="169" t="n">
        <v>0.28</v>
      </c>
      <c r="E22" t="inlineStr">
        <is>
          <t>KIA</t>
        </is>
      </c>
      <c r="F22" t="n">
        <v>7</v>
      </c>
      <c r="G22" s="83" t="n">
        <v>101</v>
      </c>
      <c r="I22" t="inlineStr">
        <is>
          <t>HYUNDAI</t>
        </is>
      </c>
      <c r="J22" t="inlineStr">
        <is>
          <t>ELANTRA SE</t>
        </is>
      </c>
      <c r="K22" t="n">
        <v>2</v>
      </c>
      <c r="L22" s="169" t="n">
        <v>0.08</v>
      </c>
    </row>
    <row r="23">
      <c r="A23" t="inlineStr">
        <is>
          <t>NISSAN</t>
        </is>
      </c>
      <c r="B23" t="n">
        <v>5</v>
      </c>
      <c r="C23" s="169" t="n">
        <v>0.2</v>
      </c>
      <c r="E23" t="inlineStr">
        <is>
          <t>HYUNDAI</t>
        </is>
      </c>
      <c r="F23" t="n">
        <v>4</v>
      </c>
      <c r="G23" s="83" t="n">
        <v>107.8</v>
      </c>
      <c r="I23" t="inlineStr">
        <is>
          <t>HONDA</t>
        </is>
      </c>
      <c r="J23" t="inlineStr">
        <is>
          <t>FIT SPORT</t>
        </is>
      </c>
      <c r="K23" t="n">
        <v>1</v>
      </c>
      <c r="L23" s="169" t="n">
        <v>0.04</v>
      </c>
    </row>
    <row r="24">
      <c r="A24" t="inlineStr">
        <is>
          <t>HYUNDAI</t>
        </is>
      </c>
      <c r="B24" t="n">
        <v>4</v>
      </c>
      <c r="C24" s="169" t="n">
        <v>0.16</v>
      </c>
      <c r="E24" t="inlineStr">
        <is>
          <t>MITSUBISHI</t>
        </is>
      </c>
      <c r="F24" t="n">
        <v>7</v>
      </c>
      <c r="G24" s="83" t="n">
        <v>132.1</v>
      </c>
      <c r="I24" t="inlineStr">
        <is>
          <t>HYUNDAI</t>
        </is>
      </c>
      <c r="J24" t="inlineStr">
        <is>
          <t>ACCENT SE</t>
        </is>
      </c>
      <c r="K24" t="n">
        <v>1</v>
      </c>
      <c r="L24" s="169" t="n">
        <v>0.04</v>
      </c>
    </row>
    <row r="25">
      <c r="A25" t="inlineStr">
        <is>
          <t>HONDA</t>
        </is>
      </c>
      <c r="B25" t="n">
        <v>1</v>
      </c>
      <c r="C25" s="169" t="n">
        <v>0.04</v>
      </c>
      <c r="G25" s="83" t="n"/>
      <c r="I25" t="inlineStr">
        <is>
          <t>HYUNDAI</t>
        </is>
      </c>
      <c r="J25" t="inlineStr">
        <is>
          <t>ELANTRA SE BLACK</t>
        </is>
      </c>
      <c r="K25" t="n">
        <v>1</v>
      </c>
      <c r="L25" s="169" t="n">
        <v>0.04</v>
      </c>
    </row>
    <row r="26">
      <c r="A26" t="inlineStr">
        <is>
          <t>SUZUKI</t>
        </is>
      </c>
      <c r="B26" t="n">
        <v>1</v>
      </c>
      <c r="C26" s="169" t="n">
        <v>0.04</v>
      </c>
      <c r="I26" t="inlineStr">
        <is>
          <t>KIA</t>
        </is>
      </c>
      <c r="J26" t="inlineStr">
        <is>
          <t>FORTE WHITE</t>
        </is>
      </c>
      <c r="K26" t="n">
        <v>1</v>
      </c>
      <c r="L26" s="169" t="n">
        <v>0.04</v>
      </c>
    </row>
    <row r="27">
      <c r="C27" s="169" t="n"/>
      <c r="I27" t="inlineStr">
        <is>
          <t>KIA</t>
        </is>
      </c>
      <c r="J27" t="inlineStr">
        <is>
          <t>RIO LX</t>
        </is>
      </c>
      <c r="K27" t="n">
        <v>1</v>
      </c>
      <c r="L27" s="169" t="n">
        <v>0.04</v>
      </c>
    </row>
    <row r="28">
      <c r="C28" s="169" t="n"/>
      <c r="I28" t="inlineStr">
        <is>
          <t>KIA</t>
        </is>
      </c>
      <c r="J28" t="inlineStr">
        <is>
          <t>RIO LX WHITE</t>
        </is>
      </c>
      <c r="K28" t="n">
        <v>1</v>
      </c>
      <c r="L28" s="169" t="n">
        <v>0.04</v>
      </c>
    </row>
    <row r="29">
      <c r="C29" s="169" t="n"/>
      <c r="L29" s="169" t="n"/>
    </row>
    <row r="30">
      <c r="A30" s="164" t="n"/>
      <c r="L30" s="169" t="n"/>
    </row>
    <row r="31">
      <c r="A31" s="59" t="n"/>
      <c r="B31" s="59" t="n"/>
      <c r="C31" s="125" t="n"/>
      <c r="D31" s="59" t="n"/>
      <c r="E31" s="59" t="n"/>
      <c r="F31" s="59" t="n"/>
      <c r="L31" s="169" t="n"/>
    </row>
    <row r="32">
      <c r="C32" s="169" t="n"/>
      <c r="D32" s="169" t="n"/>
      <c r="L32" s="169" t="n"/>
    </row>
    <row r="33">
      <c r="C33" s="169" t="n"/>
      <c r="D33" s="169" t="n"/>
    </row>
    <row r="34" ht="43.2" customHeight="1" s="170">
      <c r="A34" s="154" t="inlineStr">
        <is>
          <t>VENTAS POR MES Y VARIACIÓN MENSUAL</t>
        </is>
      </c>
      <c r="B34" s="154" t="n"/>
      <c r="C34" s="131" t="n"/>
      <c r="D34" s="131" t="n"/>
      <c r="E34" s="154" t="n"/>
      <c r="F34" s="154" t="n"/>
      <c r="G34" s="154" t="n"/>
      <c r="H34" s="154" t="n"/>
      <c r="I34" s="154" t="n"/>
      <c r="J34" s="154" t="n"/>
      <c r="K34" s="154" t="n"/>
      <c r="L34" s="154" t="n"/>
    </row>
    <row r="35">
      <c r="A35" s="154" t="inlineStr">
        <is>
          <t>Mes</t>
        </is>
      </c>
      <c r="B35" s="154" t="inlineStr">
        <is>
          <t>Vendidos</t>
        </is>
      </c>
      <c r="C35" s="131" t="inlineStr">
        <is>
          <t>% sobre vendidos</t>
        </is>
      </c>
      <c r="D35" s="131" t="inlineStr">
        <is>
          <t>Variación mensual</t>
        </is>
      </c>
      <c r="E35" s="154" t="inlineStr">
        <is>
          <t>Tendencia</t>
        </is>
      </c>
      <c r="F35" s="154" t="inlineStr">
        <is>
          <t>Marcas vendidas</t>
        </is>
      </c>
    </row>
    <row r="36">
      <c r="A36" t="inlineStr">
        <is>
          <t>Noviembre 2025</t>
        </is>
      </c>
      <c r="B36" t="n">
        <v>2</v>
      </c>
      <c r="C36" s="169" t="n">
        <v>0.08</v>
      </c>
      <c r="D36" s="169" t="n"/>
      <c r="E36" t="inlineStr">
        <is>
          <t>Sin comparación</t>
        </is>
      </c>
      <c r="F36" t="inlineStr">
        <is>
          <t>KIA (1), MITSUBISHI (1)</t>
        </is>
      </c>
    </row>
    <row r="37">
      <c r="A37" t="inlineStr">
        <is>
          <t>Diciembre 2025</t>
        </is>
      </c>
      <c r="B37" t="n">
        <v>2</v>
      </c>
      <c r="C37" s="169" t="n">
        <v>0.08</v>
      </c>
      <c r="D37" s="169" t="n">
        <v>0</v>
      </c>
      <c r="E37" t="inlineStr">
        <is>
          <t>Se mantuvo</t>
        </is>
      </c>
      <c r="F37" t="inlineStr">
        <is>
          <t>HONDA (1), SUZUKI (1)</t>
        </is>
      </c>
    </row>
    <row r="38">
      <c r="A38" t="inlineStr">
        <is>
          <t>Enero 2026</t>
        </is>
      </c>
      <c r="B38" t="n">
        <v>1</v>
      </c>
      <c r="C38" s="169" t="n">
        <v>0.04</v>
      </c>
      <c r="D38" s="169" t="n">
        <v>-0.5</v>
      </c>
      <c r="E38" t="inlineStr">
        <is>
          <t>Bajó</t>
        </is>
      </c>
      <c r="F38" t="inlineStr">
        <is>
          <t>NISSAN (1)</t>
        </is>
      </c>
    </row>
    <row r="39">
      <c r="A39" t="inlineStr">
        <is>
          <t>Febrero 2026</t>
        </is>
      </c>
      <c r="B39" t="n">
        <v>5</v>
      </c>
      <c r="C39" s="169" t="n">
        <v>0.2</v>
      </c>
      <c r="D39" s="169" t="n">
        <v>4</v>
      </c>
      <c r="E39" t="inlineStr">
        <is>
          <t>Subió</t>
        </is>
      </c>
      <c r="F39" t="inlineStr">
        <is>
          <t>KIA (2), NISSAN (2), HYUNDAI (1)</t>
        </is>
      </c>
    </row>
    <row r="40">
      <c r="A40" t="inlineStr">
        <is>
          <t>Marzo 2026</t>
        </is>
      </c>
      <c r="B40" t="n">
        <v>8</v>
      </c>
      <c r="C40" s="169" t="n">
        <v>0.32</v>
      </c>
      <c r="D40" s="169" t="n">
        <v>0.6</v>
      </c>
      <c r="E40" t="inlineStr">
        <is>
          <t>Subió</t>
        </is>
      </c>
      <c r="F40" t="inlineStr">
        <is>
          <t>HYUNDAI (3), KIA (3), MITSUBISHI (2)</t>
        </is>
      </c>
    </row>
    <row r="41">
      <c r="A41" t="inlineStr">
        <is>
          <t>Abril 2026</t>
        </is>
      </c>
      <c r="B41" t="n">
        <v>5</v>
      </c>
      <c r="C41" s="169" t="n">
        <v>0.2</v>
      </c>
      <c r="D41" s="169" t="n">
        <v>-0.375</v>
      </c>
      <c r="E41" t="inlineStr">
        <is>
          <t>Bajó</t>
        </is>
      </c>
      <c r="F41" t="inlineStr">
        <is>
          <t>MITSUBISHI (4), KIA (1)</t>
        </is>
      </c>
    </row>
    <row r="42">
      <c r="A42" s="165" t="inlineStr">
        <is>
          <t>Mayo 2026</t>
        </is>
      </c>
    </row>
    <row r="43">
      <c r="A43" s="59" t="inlineStr">
        <is>
          <t>Junio 2026</t>
        </is>
      </c>
      <c r="B43" s="59" t="n">
        <v>2</v>
      </c>
      <c r="C43" s="125" t="n">
        <v>0.08</v>
      </c>
      <c r="D43" s="125" t="n"/>
      <c r="E43" s="59" t="inlineStr">
        <is>
          <t>Sin base anterior</t>
        </is>
      </c>
      <c r="F43" s="59" t="inlineStr">
        <is>
          <t>NISSAN (2)</t>
        </is>
      </c>
      <c r="G43" s="59" t="n"/>
      <c r="H43" s="59" t="n"/>
      <c r="I43" s="59" t="n"/>
      <c r="J43" s="59" t="n"/>
      <c r="K43" s="59" t="n"/>
    </row>
    <row r="44">
      <c r="C44" s="169" t="n"/>
      <c r="D44" s="169" t="n"/>
      <c r="G44" s="166" t="n"/>
      <c r="H44" s="168" t="n"/>
    </row>
    <row r="45">
      <c r="C45" s="169" t="n"/>
      <c r="D45" s="169" t="n"/>
      <c r="G45" s="166" t="n"/>
      <c r="H45" s="168" t="n"/>
    </row>
    <row r="46">
      <c r="G46" s="166" t="n"/>
      <c r="H46" s="168" t="n"/>
    </row>
    <row r="47" ht="72" customHeight="1" s="170">
      <c r="A47" s="154" t="inlineStr">
        <is>
          <t>INVENTARIO ANTIGUO NO VENDIDO — PRIORIDAD DE SEGUIMIENTO</t>
        </is>
      </c>
      <c r="B47" s="154" t="n"/>
      <c r="C47" s="154" t="n"/>
      <c r="D47" s="154" t="n"/>
      <c r="E47" s="154" t="n"/>
      <c r="F47" s="154" t="n"/>
      <c r="G47" s="132" t="n"/>
      <c r="H47" s="133" t="n"/>
      <c r="I47" s="154" t="n"/>
      <c r="J47" s="154" t="n"/>
      <c r="K47" s="154" t="n"/>
      <c r="L47" s="154" t="n"/>
    </row>
    <row r="48" ht="28.8" customHeight="1" s="170">
      <c r="A48" s="154" t="inlineStr">
        <is>
          <t>No.</t>
        </is>
      </c>
      <c r="B48" s="154" t="inlineStr">
        <is>
          <t>Lot</t>
        </is>
      </c>
      <c r="C48" s="154" t="inlineStr">
        <is>
          <t>Marca</t>
        </is>
      </c>
      <c r="D48" s="154" t="inlineStr">
        <is>
          <t>Modelo</t>
        </is>
      </c>
      <c r="E48" s="154" t="inlineStr">
        <is>
          <t>Año</t>
        </is>
      </c>
      <c r="F48" s="154" t="inlineStr">
        <is>
          <t>Estatus</t>
        </is>
      </c>
      <c r="G48" s="132" t="inlineStr">
        <is>
          <t>Fecha compra</t>
        </is>
      </c>
      <c r="H48" s="133" t="inlineStr">
        <is>
          <t>Días sin vender</t>
        </is>
      </c>
      <c r="I48" s="154" t="inlineStr">
        <is>
          <t>Semáforo</t>
        </is>
      </c>
      <c r="J48" s="154" t="inlineStr">
        <is>
          <t>Observaciones</t>
        </is>
      </c>
      <c r="K48" s="154" t="inlineStr">
        <is>
          <t>Acción recomendada</t>
        </is>
      </c>
    </row>
    <row r="49">
      <c r="A49" t="n">
        <v>7</v>
      </c>
      <c r="B49" t="n">
        <v>83933365</v>
      </c>
      <c r="C49" t="inlineStr">
        <is>
          <t>KIA</t>
        </is>
      </c>
      <c r="D49" t="inlineStr">
        <is>
          <t>SELTOS SX</t>
        </is>
      </c>
      <c r="E49" t="n">
        <v>2021</v>
      </c>
      <c r="F49" t="inlineStr">
        <is>
          <t>LEGALIZACION</t>
        </is>
      </c>
      <c r="G49" s="166" t="n">
        <v>45959</v>
      </c>
      <c r="H49" s="168" t="n">
        <v>227</v>
      </c>
      <c r="I49" t="inlineStr">
        <is>
          <t>CRÍTICO</t>
        </is>
      </c>
      <c r="J49" t="inlineStr">
        <is>
          <t>ESPERANDO CITA DE EXPERTICIE</t>
        </is>
      </c>
      <c r="K49" t="inlineStr">
        <is>
          <t>Revisar precio/taller/gestión y definir plan de salida</t>
        </is>
      </c>
    </row>
    <row r="50">
      <c r="A50" t="n">
        <v>10</v>
      </c>
      <c r="B50" t="n">
        <v>91364305</v>
      </c>
      <c r="C50" t="inlineStr">
        <is>
          <t>NISSAN</t>
        </is>
      </c>
      <c r="D50" t="inlineStr">
        <is>
          <t>KICKS S</t>
        </is>
      </c>
      <c r="E50" t="n">
        <v>2019</v>
      </c>
      <c r="F50" t="inlineStr">
        <is>
          <t>DISPONIBLE VENTA</t>
        </is>
      </c>
      <c r="G50" s="166" t="n">
        <v>45978</v>
      </c>
      <c r="H50" s="168" t="n">
        <v>208</v>
      </c>
      <c r="I50" t="inlineStr">
        <is>
          <t>CRÍTICO</t>
        </is>
      </c>
      <c r="J50" t="inlineStr">
        <is>
          <t>LISTO PARA LA VENTA</t>
        </is>
      </c>
      <c r="K50" t="inlineStr">
        <is>
          <t>Revisar precio/taller/gestión y definir plan de salida</t>
        </is>
      </c>
    </row>
    <row r="51">
      <c r="A51" t="n">
        <v>16</v>
      </c>
      <c r="B51" t="n">
        <v>91402285</v>
      </c>
      <c r="C51" t="inlineStr">
        <is>
          <t>NISSAN</t>
        </is>
      </c>
      <c r="D51" t="inlineStr">
        <is>
          <t>KICKS S</t>
        </is>
      </c>
      <c r="E51" t="n">
        <v>2020</v>
      </c>
      <c r="F51" t="inlineStr">
        <is>
          <t>SERVICIO DE IMPORTACION</t>
        </is>
      </c>
      <c r="G51" s="166" t="n">
        <v>45992</v>
      </c>
      <c r="H51" s="168" t="n">
        <v>194</v>
      </c>
      <c r="I51" t="inlineStr">
        <is>
          <t>CRÍTICO</t>
        </is>
      </c>
      <c r="J51" t="inlineStr">
        <is>
          <t>ENTREGADO</t>
        </is>
      </c>
      <c r="K51" t="inlineStr">
        <is>
          <t>Revisar precio/taller/gestión y definir plan de salida</t>
        </is>
      </c>
    </row>
    <row r="52">
      <c r="A52" t="n">
        <v>27</v>
      </c>
      <c r="B52" t="n">
        <v>85282515</v>
      </c>
      <c r="C52" t="inlineStr">
        <is>
          <t>HYUNDAI</t>
        </is>
      </c>
      <c r="D52" t="inlineStr">
        <is>
          <t>TUCSON LIM BLACK</t>
        </is>
      </c>
      <c r="E52" t="n">
        <v>2019</v>
      </c>
      <c r="F52" t="inlineStr">
        <is>
          <t>DISPONIBLE VENTA</t>
        </is>
      </c>
      <c r="G52" s="166" t="n">
        <v>46028</v>
      </c>
      <c r="H52" s="168" t="n">
        <v>158</v>
      </c>
      <c r="I52" t="inlineStr">
        <is>
          <t>CRÍTICO</t>
        </is>
      </c>
      <c r="J52" t="inlineStr">
        <is>
          <t>LISTO PARA LA VENTA</t>
        </is>
      </c>
      <c r="K52" t="inlineStr">
        <is>
          <t>Revisar precio/taller/gestión y definir plan de salida</t>
        </is>
      </c>
    </row>
    <row r="53">
      <c r="A53" t="n">
        <v>28</v>
      </c>
      <c r="B53" t="n">
        <v>94475305</v>
      </c>
      <c r="C53" t="inlineStr">
        <is>
          <t>HYUNDAI</t>
        </is>
      </c>
      <c r="D53" t="inlineStr">
        <is>
          <t>ELANTRA SE RED</t>
        </is>
      </c>
      <c r="E53" t="n">
        <v>2020</v>
      </c>
      <c r="F53" t="inlineStr">
        <is>
          <t>DISPONIBLE VENTA</t>
        </is>
      </c>
      <c r="G53" s="166" t="n">
        <v>46029</v>
      </c>
      <c r="H53" s="168" t="n">
        <v>157</v>
      </c>
      <c r="I53" t="inlineStr">
        <is>
          <t>CRÍTICO</t>
        </is>
      </c>
      <c r="J53" t="inlineStr">
        <is>
          <t>LISTO PARA LA VENTA</t>
        </is>
      </c>
      <c r="K53" t="inlineStr">
        <is>
          <t>Revisar precio/taller/gestión y definir plan de salida</t>
        </is>
      </c>
    </row>
    <row r="54">
      <c r="A54" t="n">
        <v>29</v>
      </c>
      <c r="B54" t="n">
        <v>90341025</v>
      </c>
      <c r="C54" t="inlineStr">
        <is>
          <t>CHEVROLET</t>
        </is>
      </c>
      <c r="D54" t="inlineStr">
        <is>
          <t>SPARK 1LT</t>
        </is>
      </c>
      <c r="E54" t="n">
        <v>2022</v>
      </c>
      <c r="F54" t="inlineStr">
        <is>
          <t>LEGALIZACION</t>
        </is>
      </c>
      <c r="G54" s="166" t="n">
        <v>46029</v>
      </c>
      <c r="H54" s="168" t="n">
        <v>157</v>
      </c>
      <c r="I54" t="inlineStr">
        <is>
          <t>CRÍTICO</t>
        </is>
      </c>
      <c r="J54" t="inlineStr">
        <is>
          <t>ESPERANDO CITA DE EXPERTICIE</t>
        </is>
      </c>
      <c r="K54" t="inlineStr">
        <is>
          <t>Revisar precio/taller/gestión y definir plan de salida</t>
        </is>
      </c>
    </row>
    <row r="55">
      <c r="A55" t="n">
        <v>30</v>
      </c>
      <c r="B55" t="n">
        <v>95636305</v>
      </c>
      <c r="C55" t="inlineStr">
        <is>
          <t>NISSAN</t>
        </is>
      </c>
      <c r="D55" t="inlineStr">
        <is>
          <t>SENTRA SV</t>
        </is>
      </c>
      <c r="E55" t="n">
        <v>2020</v>
      </c>
      <c r="F55" t="inlineStr">
        <is>
          <t>DISPONIBLE VENTA</t>
        </is>
      </c>
      <c r="G55" s="166" t="n">
        <v>46029</v>
      </c>
      <c r="H55" s="168" t="n">
        <v>157</v>
      </c>
      <c r="I55" t="inlineStr">
        <is>
          <t>CRÍTICO</t>
        </is>
      </c>
      <c r="J55" t="inlineStr">
        <is>
          <t>LISTO PARA LA VENTA</t>
        </is>
      </c>
      <c r="K55" t="inlineStr">
        <is>
          <t>Revisar precio/taller/gestión y definir plan de salida</t>
        </is>
      </c>
    </row>
    <row r="56">
      <c r="A56" t="n">
        <v>31</v>
      </c>
      <c r="B56" t="n">
        <v>48992325</v>
      </c>
      <c r="C56" t="inlineStr">
        <is>
          <t>HYUNDAI</t>
        </is>
      </c>
      <c r="D56" t="inlineStr">
        <is>
          <t>TUSON SE</t>
        </is>
      </c>
      <c r="E56" t="n">
        <v>2019</v>
      </c>
      <c r="F56" t="inlineStr">
        <is>
          <t>SERVICIO DE IMPORTACION</t>
        </is>
      </c>
      <c r="G56" s="166" t="n">
        <v>46076</v>
      </c>
      <c r="H56" s="168" t="n">
        <v>110</v>
      </c>
      <c r="I56" t="inlineStr">
        <is>
          <t>ALERTA</t>
        </is>
      </c>
      <c r="J56" t="inlineStr">
        <is>
          <t>ENTREGADO</t>
        </is>
      </c>
      <c r="K56" t="inlineStr">
        <is>
          <t>Dar seguimiento semanal</t>
        </is>
      </c>
    </row>
    <row r="57">
      <c r="A57" t="n">
        <v>32</v>
      </c>
      <c r="B57" t="n">
        <v>97552065</v>
      </c>
      <c r="C57" t="inlineStr">
        <is>
          <t>CHEVROLET</t>
        </is>
      </c>
      <c r="D57" t="inlineStr">
        <is>
          <t>TRAX LS</t>
        </is>
      </c>
      <c r="E57" t="n">
        <v>2019</v>
      </c>
      <c r="F57" t="inlineStr">
        <is>
          <t>DISPONIBLE VENTA</t>
        </is>
      </c>
      <c r="G57" s="166" t="n">
        <v>46076</v>
      </c>
      <c r="H57" s="168" t="n">
        <v>110</v>
      </c>
      <c r="I57" t="inlineStr">
        <is>
          <t>ALERTA</t>
        </is>
      </c>
      <c r="J57" t="inlineStr">
        <is>
          <t>LISTO PARA LA VENTA</t>
        </is>
      </c>
      <c r="K57" t="inlineStr">
        <is>
          <t>Dar seguimiento semanal</t>
        </is>
      </c>
    </row>
    <row r="58">
      <c r="A58" t="n">
        <v>33</v>
      </c>
      <c r="B58" t="n">
        <v>74284945</v>
      </c>
      <c r="C58" t="inlineStr">
        <is>
          <t>KIA</t>
        </is>
      </c>
      <c r="D58" t="inlineStr">
        <is>
          <t>RIO LX</t>
        </is>
      </c>
      <c r="E58" t="n">
        <v>2020</v>
      </c>
      <c r="F58" t="inlineStr">
        <is>
          <t>LEGALIZACION</t>
        </is>
      </c>
      <c r="G58" s="166" t="n">
        <v>46076</v>
      </c>
      <c r="H58" s="168" t="n">
        <v>110</v>
      </c>
      <c r="I58" t="inlineStr">
        <is>
          <t>ALERTA</t>
        </is>
      </c>
      <c r="J58" t="inlineStr">
        <is>
          <t>ESPERANDO PLACAS</t>
        </is>
      </c>
      <c r="K58" t="inlineStr">
        <is>
          <t>Dar seguimiento semanal</t>
        </is>
      </c>
    </row>
    <row r="59">
      <c r="A59" t="n">
        <v>35</v>
      </c>
      <c r="B59" t="n">
        <v>75884695</v>
      </c>
      <c r="C59" t="inlineStr">
        <is>
          <t>HYUNDAI</t>
        </is>
      </c>
      <c r="D59" t="inlineStr">
        <is>
          <t>SANTA FE SE</t>
        </is>
      </c>
      <c r="E59" t="n">
        <v>2020</v>
      </c>
      <c r="F59" t="inlineStr">
        <is>
          <t>REPARACION</t>
        </is>
      </c>
      <c r="G59" s="166" t="n">
        <v>46077</v>
      </c>
      <c r="H59" s="168" t="n">
        <v>109</v>
      </c>
      <c r="I59" t="inlineStr">
        <is>
          <t>ALERTA</t>
        </is>
      </c>
      <c r="J59" t="inlineStr">
        <is>
          <t>TALLER MANUEL</t>
        </is>
      </c>
      <c r="K59" t="inlineStr">
        <is>
          <t>Dar seguimiento semanal</t>
        </is>
      </c>
    </row>
    <row r="60">
      <c r="A60" t="n">
        <v>36</v>
      </c>
      <c r="B60" t="n">
        <v>96814985</v>
      </c>
      <c r="C60" t="inlineStr">
        <is>
          <t>MAZDA</t>
        </is>
      </c>
      <c r="D60" t="inlineStr">
        <is>
          <t>CX-9 GRAND TOURING</t>
        </is>
      </c>
      <c r="E60" t="n">
        <v>2019</v>
      </c>
      <c r="F60" t="inlineStr">
        <is>
          <t>REPARACION</t>
        </is>
      </c>
      <c r="G60" s="166" t="n">
        <v>46090</v>
      </c>
      <c r="H60" s="168" t="n">
        <v>96</v>
      </c>
      <c r="I60" t="inlineStr">
        <is>
          <t>ALERTA</t>
        </is>
      </c>
      <c r="J60" t="inlineStr">
        <is>
          <t>TALLER COCO</t>
        </is>
      </c>
      <c r="K60" t="inlineStr">
        <is>
          <t>Dar seguimiento semanal</t>
        </is>
      </c>
    </row>
    <row r="61">
      <c r="A61" t="n">
        <v>37</v>
      </c>
      <c r="B61" t="n">
        <v>97933025</v>
      </c>
      <c r="C61" t="inlineStr">
        <is>
          <t>NISSAN</t>
        </is>
      </c>
      <c r="D61" t="inlineStr">
        <is>
          <t>ROGUE SPORT</t>
        </is>
      </c>
      <c r="E61" t="n">
        <v>2019</v>
      </c>
      <c r="F61" t="inlineStr">
        <is>
          <t>LEGALIZACION</t>
        </is>
      </c>
      <c r="G61" s="166" t="n">
        <v>46090</v>
      </c>
      <c r="H61" s="168" t="n">
        <v>96</v>
      </c>
      <c r="I61" t="inlineStr">
        <is>
          <t>ALERTA</t>
        </is>
      </c>
      <c r="J61" t="inlineStr">
        <is>
          <t>ESPERANDO CITA DE EXPERTICIE</t>
        </is>
      </c>
      <c r="K61" t="inlineStr">
        <is>
          <t>Dar seguimiento semanal</t>
        </is>
      </c>
    </row>
    <row r="62">
      <c r="A62" t="n">
        <v>39</v>
      </c>
      <c r="B62" t="n">
        <v>92667555</v>
      </c>
      <c r="C62" t="inlineStr">
        <is>
          <t>HYUNDAI</t>
        </is>
      </c>
      <c r="D62" t="inlineStr">
        <is>
          <t>ELANTRA SEL</t>
        </is>
      </c>
      <c r="E62" t="n">
        <v>2019</v>
      </c>
      <c r="F62" t="inlineStr">
        <is>
          <t>DISPONIBLE VENTA</t>
        </is>
      </c>
      <c r="G62" s="166" t="n">
        <v>46097</v>
      </c>
      <c r="H62" s="168" t="n">
        <v>89</v>
      </c>
      <c r="I62" t="inlineStr">
        <is>
          <t>REVISAR</t>
        </is>
      </c>
      <c r="J62" t="inlineStr">
        <is>
          <t>LISTO PARA LA VENTA</t>
        </is>
      </c>
      <c r="K62" t="inlineStr">
        <is>
          <t>Dar seguimiento semanal</t>
        </is>
      </c>
    </row>
    <row r="63">
      <c r="A63" t="n">
        <v>40</v>
      </c>
      <c r="B63" t="n">
        <v>79773935</v>
      </c>
      <c r="C63" t="inlineStr">
        <is>
          <t>KIA</t>
        </is>
      </c>
      <c r="D63" t="inlineStr">
        <is>
          <t>SOUL BASE</t>
        </is>
      </c>
      <c r="E63" t="n">
        <v>2019</v>
      </c>
      <c r="F63" t="inlineStr">
        <is>
          <t>LEGALIZACION</t>
        </is>
      </c>
      <c r="G63" s="166" t="n">
        <v>46097</v>
      </c>
      <c r="H63" s="168" t="n">
        <v>89</v>
      </c>
      <c r="I63" t="inlineStr">
        <is>
          <t>REVISAR</t>
        </is>
      </c>
      <c r="J63" t="inlineStr">
        <is>
          <t>ESPERANDO CITA EXPERTICIE</t>
        </is>
      </c>
      <c r="K63" t="inlineStr">
        <is>
          <t>Dar seguimiento semanal</t>
        </is>
      </c>
    </row>
    <row r="64">
      <c r="A64" t="n">
        <v>41</v>
      </c>
      <c r="B64" t="n">
        <v>77138085</v>
      </c>
      <c r="C64" t="inlineStr">
        <is>
          <t>HYUNDAI</t>
        </is>
      </c>
      <c r="D64" t="inlineStr">
        <is>
          <t>ELANTRA SEL</t>
        </is>
      </c>
      <c r="E64" t="n">
        <v>2022</v>
      </c>
      <c r="F64" t="inlineStr">
        <is>
          <t>REPARACION</t>
        </is>
      </c>
      <c r="G64" s="166" t="n">
        <v>46097</v>
      </c>
      <c r="H64" s="168" t="n">
        <v>89</v>
      </c>
      <c r="I64" t="inlineStr">
        <is>
          <t>REVISAR</t>
        </is>
      </c>
      <c r="J64" t="inlineStr">
        <is>
          <t>TALLER MANUEL</t>
        </is>
      </c>
      <c r="K64" t="inlineStr">
        <is>
          <t>Dar seguimiento semanal</t>
        </is>
      </c>
    </row>
    <row r="65">
      <c r="A65" t="n">
        <v>42</v>
      </c>
      <c r="B65" t="n">
        <v>96800565</v>
      </c>
      <c r="C65" t="inlineStr">
        <is>
          <t>NISSAN</t>
        </is>
      </c>
      <c r="D65" t="inlineStr">
        <is>
          <t>SENTRA SV</t>
        </is>
      </c>
      <c r="E65" t="n">
        <v>2020</v>
      </c>
      <c r="F65" t="inlineStr">
        <is>
          <t>REPARACION</t>
        </is>
      </c>
      <c r="G65" s="166" t="n">
        <v>46098</v>
      </c>
      <c r="H65" s="168" t="n">
        <v>88</v>
      </c>
      <c r="I65" t="inlineStr">
        <is>
          <t>REVISAR</t>
        </is>
      </c>
      <c r="J65" t="inlineStr">
        <is>
          <t>TALLER KEVIN RAMIREZ</t>
        </is>
      </c>
      <c r="K65" t="inlineStr">
        <is>
          <t>Dar seguimiento semanal</t>
        </is>
      </c>
    </row>
    <row r="66">
      <c r="A66" t="n">
        <v>43</v>
      </c>
      <c r="B66" t="n">
        <v>79169315</v>
      </c>
      <c r="C66" t="inlineStr">
        <is>
          <t>KIA</t>
        </is>
      </c>
      <c r="D66" t="inlineStr">
        <is>
          <t>SORENTO LX V6</t>
        </is>
      </c>
      <c r="E66" t="n">
        <v>2020</v>
      </c>
      <c r="F66" t="inlineStr">
        <is>
          <t>REPARACION</t>
        </is>
      </c>
      <c r="G66" s="166" t="n">
        <v>46099</v>
      </c>
      <c r="H66" s="168" t="n">
        <v>87</v>
      </c>
      <c r="I66" t="inlineStr">
        <is>
          <t>REVISAR</t>
        </is>
      </c>
      <c r="K66" t="inlineStr">
        <is>
          <t>Dar seguimiento semanal</t>
        </is>
      </c>
    </row>
    <row r="67">
      <c r="A67" t="n">
        <v>44</v>
      </c>
      <c r="B67" t="n">
        <v>77514225</v>
      </c>
      <c r="C67" t="inlineStr">
        <is>
          <t>HYUNDAI</t>
        </is>
      </c>
      <c r="D67" t="inlineStr">
        <is>
          <t>ACCENT LIMITED</t>
        </is>
      </c>
      <c r="E67" t="n">
        <v>2019</v>
      </c>
      <c r="F67" t="inlineStr">
        <is>
          <t>DISPONIBLE VENTA</t>
        </is>
      </c>
      <c r="G67" s="166" t="n">
        <v>46099</v>
      </c>
      <c r="H67" s="168" t="n">
        <v>87</v>
      </c>
      <c r="I67" t="inlineStr">
        <is>
          <t>REVISAR</t>
        </is>
      </c>
      <c r="J67" t="inlineStr">
        <is>
          <t>LISTO PARA LA VENTA</t>
        </is>
      </c>
      <c r="K67" t="inlineStr">
        <is>
          <t>Dar seguimiento semanal</t>
        </is>
      </c>
    </row>
    <row r="68">
      <c r="A68" s="155" t="n">
        <v>45</v>
      </c>
      <c r="I68" t="inlineStr">
        <is>
          <t>REVISAR</t>
        </is>
      </c>
      <c r="K68" t="inlineStr">
        <is>
          <t>Dar seguimiento semanal</t>
        </is>
      </c>
    </row>
    <row r="69">
      <c r="A69" s="61" t="n">
        <v>46</v>
      </c>
      <c r="B69" s="61" t="n">
        <v>79966335</v>
      </c>
      <c r="C69" s="61" t="inlineStr">
        <is>
          <t>CHEVROLET</t>
        </is>
      </c>
      <c r="D69" s="61" t="inlineStr">
        <is>
          <t>SPARK 1LT</t>
        </is>
      </c>
      <c r="E69" s="61" t="n">
        <v>2020</v>
      </c>
      <c r="F69" s="61" t="inlineStr">
        <is>
          <t>ADUANA</t>
        </is>
      </c>
      <c r="G69" s="128" t="n">
        <v>46119</v>
      </c>
      <c r="H69" s="127" t="n">
        <v>67</v>
      </c>
      <c r="I69" t="inlineStr">
        <is>
          <t>REVISAR</t>
        </is>
      </c>
      <c r="J69" t="inlineStr">
        <is>
          <t>SAN BARTOLO</t>
        </is>
      </c>
      <c r="K69" t="inlineStr">
        <is>
          <t>Dar seguimiento semanal</t>
        </is>
      </c>
    </row>
    <row r="70">
      <c r="A70" t="n">
        <v>47</v>
      </c>
      <c r="B70" t="n">
        <v>79754765</v>
      </c>
      <c r="C70" t="inlineStr">
        <is>
          <t>MITSUBISHI</t>
        </is>
      </c>
      <c r="D70" t="inlineStr">
        <is>
          <t>MIRAGE G4 ES</t>
        </is>
      </c>
      <c r="E70" t="n">
        <v>2019</v>
      </c>
      <c r="F70" s="166" t="inlineStr">
        <is>
          <t>TRANSITO</t>
        </is>
      </c>
      <c r="G70" s="166" t="n">
        <v>46120</v>
      </c>
      <c r="H70" s="168" t="n">
        <v>66</v>
      </c>
      <c r="I70" t="inlineStr">
        <is>
          <t>REVISAR</t>
        </is>
      </c>
      <c r="J70" t="inlineStr">
        <is>
          <t>USA-ESV</t>
        </is>
      </c>
      <c r="K70" t="inlineStr">
        <is>
          <t>Dar seguimiento semanal</t>
        </is>
      </c>
    </row>
    <row r="71">
      <c r="A71" t="n">
        <v>48</v>
      </c>
      <c r="B71" t="n">
        <v>79257455</v>
      </c>
      <c r="C71" t="inlineStr">
        <is>
          <t>NISSAN</t>
        </is>
      </c>
      <c r="D71" t="inlineStr">
        <is>
          <t>SENTRA S</t>
        </is>
      </c>
      <c r="E71" t="n">
        <v>2019</v>
      </c>
      <c r="F71" s="166" t="inlineStr">
        <is>
          <t>REPARACION</t>
        </is>
      </c>
      <c r="G71" s="166" t="n">
        <v>46121</v>
      </c>
      <c r="H71" s="168" t="n">
        <v>65</v>
      </c>
      <c r="I71" t="inlineStr">
        <is>
          <t>REVISAR</t>
        </is>
      </c>
      <c r="J71" t="inlineStr">
        <is>
          <t>TALLER KEVIN RAMIREZ</t>
        </is>
      </c>
      <c r="K71" t="inlineStr">
        <is>
          <t>Dar seguimiento semanal</t>
        </is>
      </c>
    </row>
    <row r="72">
      <c r="A72" t="n">
        <v>49</v>
      </c>
      <c r="B72" t="n">
        <v>45446786</v>
      </c>
      <c r="C72" t="inlineStr">
        <is>
          <t>KIA</t>
        </is>
      </c>
      <c r="D72" t="inlineStr">
        <is>
          <t>FORTE LXS</t>
        </is>
      </c>
      <c r="E72" t="n">
        <v>2019</v>
      </c>
      <c r="F72" t="inlineStr">
        <is>
          <t>TRANSITO</t>
        </is>
      </c>
      <c r="G72" s="166" t="n">
        <v>46121</v>
      </c>
      <c r="H72" s="168" t="n">
        <v>65</v>
      </c>
      <c r="I72" t="inlineStr">
        <is>
          <t>REVISAR</t>
        </is>
      </c>
      <c r="J72" t="inlineStr">
        <is>
          <t>USA-ESV</t>
        </is>
      </c>
      <c r="K72" t="inlineStr">
        <is>
          <t>Dar seguimiento semanal</t>
        </is>
      </c>
    </row>
    <row r="73">
      <c r="A73" t="n">
        <v>50</v>
      </c>
      <c r="B73" t="n">
        <v>79469085</v>
      </c>
      <c r="C73" t="inlineStr">
        <is>
          <t>KIA</t>
        </is>
      </c>
      <c r="D73" t="inlineStr">
        <is>
          <t>FORTE LXS</t>
        </is>
      </c>
      <c r="E73" t="n">
        <v>2019</v>
      </c>
      <c r="F73" t="inlineStr">
        <is>
          <t>TRANSITO</t>
        </is>
      </c>
      <c r="G73" s="166" t="n">
        <v>46121</v>
      </c>
      <c r="H73" s="168" t="n">
        <v>65</v>
      </c>
      <c r="I73" t="inlineStr">
        <is>
          <t>REVISAR</t>
        </is>
      </c>
      <c r="J73" t="inlineStr">
        <is>
          <t>USA-ESV</t>
        </is>
      </c>
      <c r="K73" t="inlineStr">
        <is>
          <t>Dar seguimiento semanal</t>
        </is>
      </c>
    </row>
    <row r="74">
      <c r="G74" s="166" t="n"/>
      <c r="H74" s="168" t="n"/>
    </row>
    <row r="75">
      <c r="G75" s="166" t="n"/>
      <c r="H75" s="168" t="n"/>
    </row>
    <row r="76">
      <c r="G76" s="166" t="n"/>
      <c r="H76" s="168" t="n"/>
    </row>
    <row r="78" ht="57.6" customHeight="1" s="170">
      <c r="A78" s="154" t="inlineStr">
        <is>
          <t>CONTROL DE CALIDAD — FECHAS Y CAMBIOS DE ESTATUS</t>
        </is>
      </c>
      <c r="B78" s="154" t="n"/>
      <c r="C78" s="154" t="n"/>
      <c r="D78" s="154" t="n"/>
      <c r="E78" s="154" t="n"/>
      <c r="F78" s="154" t="n"/>
      <c r="G78" s="154" t="n"/>
      <c r="H78" s="154" t="n"/>
      <c r="I78" s="154" t="n"/>
      <c r="J78" s="154" t="n"/>
      <c r="K78" s="154" t="n"/>
      <c r="L78" s="154" t="n"/>
    </row>
    <row r="79">
      <c r="A79" s="154" t="inlineStr">
        <is>
          <t>Tipo</t>
        </is>
      </c>
      <c r="B79" s="154" t="inlineStr">
        <is>
          <t>No.</t>
        </is>
      </c>
      <c r="C79" s="154" t="inlineStr">
        <is>
          <t>Antes</t>
        </is>
      </c>
      <c r="D79" s="154" t="inlineStr">
        <is>
          <t>Después</t>
        </is>
      </c>
      <c r="E79" s="154" t="inlineStr">
        <is>
          <t>Detalle</t>
        </is>
      </c>
    </row>
    <row r="80">
      <c r="A80" t="inlineStr">
        <is>
          <t>Fecha corregida</t>
        </is>
      </c>
      <c r="B80" t="n">
        <v>12</v>
      </c>
      <c r="C80" t="n">
        <v>46344</v>
      </c>
      <c r="D80" s="166" t="n">
        <v>45979</v>
      </c>
      <c r="E80" s="166" t="inlineStr">
        <is>
          <t>Compra posterior a venta; se conservó fecha corregida de mayo</t>
        </is>
      </c>
    </row>
    <row r="81">
      <c r="A81" t="inlineStr">
        <is>
          <t>Fecha corregida</t>
        </is>
      </c>
      <c r="B81" t="n">
        <v>21</v>
      </c>
      <c r="C81" t="n">
        <v>46360</v>
      </c>
      <c r="D81" s="166" t="n">
        <v>45995</v>
      </c>
      <c r="E81" s="166" t="inlineStr">
        <is>
          <t>Compra posterior a venta; se conservó fecha corregida de mayo</t>
        </is>
      </c>
    </row>
    <row r="82">
      <c r="A82" t="inlineStr">
        <is>
          <t>Fecha convertida</t>
        </is>
      </c>
      <c r="B82" t="n">
        <v>8</v>
      </c>
      <c r="C82" t="inlineStr">
        <is>
          <t>26-nov-2025</t>
        </is>
      </c>
      <c r="D82" s="166" t="n">
        <v>45987</v>
      </c>
      <c r="E82" s="166" t="inlineStr">
        <is>
          <t>FECHA_VENTA convertida a fecha real</t>
        </is>
      </c>
    </row>
    <row r="83">
      <c r="A83" t="inlineStr">
        <is>
          <t>Fecha convertida</t>
        </is>
      </c>
      <c r="B83" t="n">
        <v>21</v>
      </c>
      <c r="C83" t="inlineStr">
        <is>
          <t>12-dic-2025</t>
        </is>
      </c>
      <c r="D83" s="166" t="n">
        <v>46003</v>
      </c>
      <c r="E83" s="166" t="inlineStr">
        <is>
          <t>FECHA_VENTA convertida a fecha real</t>
        </is>
      </c>
    </row>
    <row r="84">
      <c r="A84" t="inlineStr">
        <is>
          <t>Fecha convertida</t>
        </is>
      </c>
      <c r="B84" t="n">
        <v>25</v>
      </c>
      <c r="C84" t="inlineStr">
        <is>
          <t>07-ene-2026</t>
        </is>
      </c>
      <c r="D84" s="166" t="n">
        <v>46029</v>
      </c>
      <c r="E84" s="166" t="inlineStr">
        <is>
          <t>FECHA_VENTA convertida a fecha real</t>
        </is>
      </c>
    </row>
    <row r="85">
      <c r="A85" t="inlineStr">
        <is>
          <t>Cambio estatus</t>
        </is>
      </c>
      <c r="B85" t="n">
        <v>7</v>
      </c>
      <c r="C85" t="inlineStr">
        <is>
          <t>REPARACION</t>
        </is>
      </c>
      <c r="D85" s="166" t="inlineStr">
        <is>
          <t>LEGALIZACION</t>
        </is>
      </c>
      <c r="E85" s="166" t="inlineStr">
        <is>
          <t>KIA SELTOS SX</t>
        </is>
      </c>
    </row>
    <row r="86">
      <c r="A86" t="inlineStr">
        <is>
          <t>Cambio estatus</t>
        </is>
      </c>
      <c r="B86" t="n">
        <v>34</v>
      </c>
      <c r="C86" t="inlineStr">
        <is>
          <t>DISPONIBLE VENTA</t>
        </is>
      </c>
      <c r="D86" s="166" t="inlineStr">
        <is>
          <t>VENDIDO</t>
        </is>
      </c>
      <c r="E86" s="166" t="inlineStr">
        <is>
          <t>NISSAN SENTRA S</t>
        </is>
      </c>
    </row>
    <row r="87">
      <c r="A87" t="inlineStr">
        <is>
          <t>Cambio estatus</t>
        </is>
      </c>
      <c r="B87" t="n">
        <v>38</v>
      </c>
      <c r="C87" t="inlineStr">
        <is>
          <t>DISPONIBLE VENTA</t>
        </is>
      </c>
      <c r="D87" s="166" t="inlineStr">
        <is>
          <t>VENDIDO</t>
        </is>
      </c>
      <c r="E87" s="166" t="inlineStr">
        <is>
          <t>NISSAN VERSA SV</t>
        </is>
      </c>
    </row>
    <row r="88">
      <c r="A88" t="inlineStr">
        <is>
          <t>Cambio estatus</t>
        </is>
      </c>
      <c r="B88" t="n">
        <v>39</v>
      </c>
      <c r="C88" t="inlineStr">
        <is>
          <t>REPARACION</t>
        </is>
      </c>
      <c r="D88" s="166" t="inlineStr">
        <is>
          <t>DISPONIBLE VENTA</t>
        </is>
      </c>
      <c r="E88" s="166" t="inlineStr">
        <is>
          <t>HYUNDAI ELANTRA SEL</t>
        </is>
      </c>
    </row>
    <row r="89">
      <c r="A89" t="inlineStr">
        <is>
          <t>Cambio estatus</t>
        </is>
      </c>
      <c r="B89" t="n">
        <v>42</v>
      </c>
      <c r="C89" t="inlineStr">
        <is>
          <t>ADUANA</t>
        </is>
      </c>
      <c r="D89" s="166" t="inlineStr">
        <is>
          <t>REPARACION</t>
        </is>
      </c>
      <c r="E89" s="166" t="inlineStr">
        <is>
          <t>NISSAN SENTRA SV</t>
        </is>
      </c>
    </row>
    <row r="90">
      <c r="A90" t="inlineStr">
        <is>
          <t>Cambio estatus</t>
        </is>
      </c>
      <c r="B90" t="n">
        <v>43</v>
      </c>
      <c r="C90" t="inlineStr">
        <is>
          <t>ADUANA</t>
        </is>
      </c>
      <c r="D90" s="166" t="inlineStr">
        <is>
          <t>REPARACION</t>
        </is>
      </c>
      <c r="E90" s="166" t="inlineStr">
        <is>
          <t>KIA SORENTO LX V6</t>
        </is>
      </c>
    </row>
    <row r="91">
      <c r="A91" t="inlineStr">
        <is>
          <t>Cambio estatus</t>
        </is>
      </c>
      <c r="B91" t="n">
        <v>44</v>
      </c>
      <c r="C91" t="inlineStr">
        <is>
          <t>LEGALIZACION</t>
        </is>
      </c>
      <c r="D91" s="166" t="inlineStr">
        <is>
          <t>DISPONIBLE VENTA</t>
        </is>
      </c>
      <c r="E91" s="166" t="inlineStr">
        <is>
          <t>HYUNDAI ACCENT LIMITED</t>
        </is>
      </c>
    </row>
    <row r="92">
      <c r="A92" t="inlineStr">
        <is>
          <t>Cambio estatus</t>
        </is>
      </c>
      <c r="B92" t="n">
        <v>45</v>
      </c>
      <c r="C92" t="inlineStr">
        <is>
          <t>ADUANA</t>
        </is>
      </c>
      <c r="D92" s="166" t="inlineStr">
        <is>
          <t>REPARACION</t>
        </is>
      </c>
      <c r="E92" s="166" t="inlineStr">
        <is>
          <t>NISSAN VERSA S</t>
        </is>
      </c>
    </row>
    <row r="93">
      <c r="A93" t="inlineStr">
        <is>
          <t>Cambio estatus</t>
        </is>
      </c>
      <c r="B93" t="n">
        <v>46</v>
      </c>
      <c r="C93" t="inlineStr">
        <is>
          <t>TRANSITO</t>
        </is>
      </c>
      <c r="D93" s="166" t="inlineStr">
        <is>
          <t>ADUANA</t>
        </is>
      </c>
      <c r="E93" s="166" t="inlineStr">
        <is>
          <t>CHEVROLET SPARK 1LT</t>
        </is>
      </c>
    </row>
    <row r="94">
      <c r="A94" t="inlineStr">
        <is>
          <t>Cambio estatus</t>
        </is>
      </c>
      <c r="B94" t="n">
        <v>48</v>
      </c>
      <c r="C94" t="inlineStr">
        <is>
          <t>ADUANA</t>
        </is>
      </c>
      <c r="D94" s="166" t="inlineStr">
        <is>
          <t>REPARACION</t>
        </is>
      </c>
      <c r="E94" s="166" t="inlineStr">
        <is>
          <t>NISSAN SENTRA S</t>
        </is>
      </c>
    </row>
    <row r="95">
      <c r="A95" t="inlineStr">
        <is>
          <t>Cambio estatus</t>
        </is>
      </c>
      <c r="B95" t="n">
        <v>55</v>
      </c>
      <c r="C95" t="inlineStr">
        <is>
          <t>TRANSITO</t>
        </is>
      </c>
      <c r="D95" s="166" t="inlineStr">
        <is>
          <t>ADUANA</t>
        </is>
      </c>
      <c r="E95" s="166" t="inlineStr">
        <is>
          <t>CHEVROLET TRAX LS</t>
        </is>
      </c>
    </row>
    <row r="96">
      <c r="A96" t="inlineStr">
        <is>
          <t>Cambio estatus</t>
        </is>
      </c>
      <c r="B96" t="n">
        <v>57</v>
      </c>
      <c r="C96" t="inlineStr">
        <is>
          <t>REPARACION</t>
        </is>
      </c>
      <c r="D96" s="166" t="inlineStr">
        <is>
          <t>LEGALIZACION</t>
        </is>
      </c>
      <c r="E96" s="166" t="inlineStr">
        <is>
          <t>JEEP RENEGADE SPORT</t>
        </is>
      </c>
    </row>
    <row r="97">
      <c r="A97" t="inlineStr">
        <is>
          <t>Cambio estatus</t>
        </is>
      </c>
      <c r="B97" t="n">
        <v>64</v>
      </c>
      <c r="C97" t="inlineStr">
        <is>
          <t>TRANSITO</t>
        </is>
      </c>
      <c r="D97" s="166" t="inlineStr">
        <is>
          <t>ADUANA</t>
        </is>
      </c>
      <c r="E97" s="166" t="inlineStr">
        <is>
          <t>HYUNDAI ELANTRA SE</t>
        </is>
      </c>
    </row>
    <row r="98">
      <c r="D98" s="166" t="n"/>
      <c r="E98" s="166" t="n"/>
    </row>
    <row r="99">
      <c r="D99" s="166" t="n"/>
      <c r="E99" s="166" t="n"/>
    </row>
    <row r="100">
      <c r="D100" s="166" t="n"/>
      <c r="E100" s="166" t="n"/>
    </row>
    <row r="101">
      <c r="D101" s="166" t="n"/>
      <c r="E101" s="166" t="n"/>
    </row>
    <row r="102">
      <c r="D102" s="166" t="n"/>
      <c r="E102" s="166" t="n"/>
    </row>
    <row r="103">
      <c r="D103" s="166" t="n"/>
      <c r="E103" s="166" t="n"/>
    </row>
    <row r="104">
      <c r="D104" s="166" t="n"/>
      <c r="E104" s="166" t="n"/>
    </row>
    <row r="105">
      <c r="D105" s="166" t="n"/>
      <c r="E105" s="166" t="n"/>
    </row>
    <row r="106">
      <c r="D106" s="166" t="n"/>
      <c r="E106" s="166" t="n"/>
    </row>
    <row r="107">
      <c r="D107" s="166" t="n"/>
      <c r="E107" s="166" t="n"/>
    </row>
    <row r="108">
      <c r="D108" s="166" t="n"/>
      <c r="E108" s="166" t="n"/>
    </row>
    <row r="109">
      <c r="D109" s="166" t="n"/>
      <c r="E109" s="166" t="n"/>
    </row>
    <row r="110">
      <c r="D110" s="166" t="n"/>
      <c r="E110" s="166" t="n"/>
    </row>
  </sheetData>
  <mergeCells count="8">
    <mergeCell ref="I18:L18"/>
    <mergeCell ref="A3:J3"/>
    <mergeCell ref="A18:C18"/>
    <mergeCell ref="A68:H68"/>
    <mergeCell ref="A42:K42"/>
    <mergeCell ref="E18:G18"/>
    <mergeCell ref="A30:F30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E15" sqref="E15"/>
    </sheetView>
  </sheetViews>
  <sheetFormatPr baseColWidth="10" defaultColWidth="8.88671875" defaultRowHeight="14.4"/>
  <cols>
    <col width="25.33203125" customWidth="1" style="170" min="1" max="1"/>
    <col width="18" customWidth="1" style="170" min="2" max="12"/>
  </cols>
  <sheetData>
    <row r="1" ht="72" customHeight="1" s="170">
      <c r="A1" s="154" t="inlineStr">
        <is>
          <t>HISTORIAL DISPONIBLE PARA LA VENTA — COMPARATIVO SEMANAL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2">
      <c r="A2" t="inlineStr">
        <is>
          <t>Comparativo de disponibilidad: 25-30 mayo 2026 vs 08-13 junio 2026 · Fecha de corte 13/06/2026</t>
        </is>
      </c>
    </row>
    <row r="4" ht="28.8" customHeight="1" s="170">
      <c r="A4" s="154" t="inlineStr">
        <is>
          <t>Semana / corte</t>
        </is>
      </c>
      <c r="B4" s="154" t="inlineStr">
        <is>
          <t>Disponibles para venta</t>
        </is>
      </c>
      <c r="C4" s="154" t="inlineStr">
        <is>
          <t>Variación vs semana anterior</t>
        </is>
      </c>
      <c r="D4" s="154" t="inlineStr">
        <is>
          <t>Comentario</t>
        </is>
      </c>
      <c r="J4" s="154" t="inlineStr">
        <is>
          <t>Marca actual</t>
        </is>
      </c>
      <c r="K4" s="154" t="inlineStr">
        <is>
          <t>Unidades</t>
        </is>
      </c>
      <c r="L4" s="154" t="inlineStr">
        <is>
          <t>% disponibles</t>
        </is>
      </c>
    </row>
    <row r="5">
      <c r="A5" t="inlineStr">
        <is>
          <t>25-30 mayo 2026</t>
        </is>
      </c>
      <c r="B5" t="n">
        <v>8</v>
      </c>
      <c r="D5" t="inlineStr">
        <is>
          <t>Base semana anterior</t>
        </is>
      </c>
      <c r="J5" t="inlineStr">
        <is>
          <t>HYUNDAI</t>
        </is>
      </c>
      <c r="K5" t="n">
        <v>4</v>
      </c>
      <c r="L5" s="169" t="n">
        <v>0.5</v>
      </c>
    </row>
    <row r="6">
      <c r="A6" t="inlineStr">
        <is>
          <t>08-13 junio 2026</t>
        </is>
      </c>
      <c r="B6" t="n">
        <v>8</v>
      </c>
      <c r="C6" t="n">
        <v>0</v>
      </c>
      <c r="D6" t="inlineStr">
        <is>
          <t>Se mantiene igual</t>
        </is>
      </c>
      <c r="J6" t="inlineStr">
        <is>
          <t>CHEVROLET</t>
        </is>
      </c>
      <c r="K6" t="n">
        <v>2</v>
      </c>
      <c r="L6" s="169" t="n">
        <v>0.25</v>
      </c>
    </row>
    <row r="7">
      <c r="J7" t="inlineStr">
        <is>
          <t>NISSAN</t>
        </is>
      </c>
      <c r="K7" t="n">
        <v>2</v>
      </c>
      <c r="L7" s="169" t="n">
        <v>0.25</v>
      </c>
    </row>
    <row r="8">
      <c r="A8" s="154" t="inlineStr">
        <is>
          <t>Detalle</t>
        </is>
      </c>
      <c r="B8" s="154" t="inlineStr">
        <is>
          <t>No.</t>
        </is>
      </c>
      <c r="C8" s="154" t="inlineStr">
        <is>
          <t>Lot</t>
        </is>
      </c>
      <c r="D8" s="154" t="inlineStr">
        <is>
          <t>Marca</t>
        </is>
      </c>
      <c r="E8" s="154" t="inlineStr">
        <is>
          <t>Modelo</t>
        </is>
      </c>
      <c r="F8" s="154" t="inlineStr">
        <is>
          <t>Año</t>
        </is>
      </c>
      <c r="G8" s="154" t="inlineStr">
        <is>
          <t>Fecha compra</t>
        </is>
      </c>
      <c r="H8" s="154" t="inlineStr">
        <is>
          <t>Observación</t>
        </is>
      </c>
      <c r="L8" s="169" t="n"/>
    </row>
    <row r="9">
      <c r="A9" t="inlineStr">
        <is>
          <t>Se mantiene disponible</t>
        </is>
      </c>
      <c r="B9" t="n">
        <v>10</v>
      </c>
      <c r="C9" t="n">
        <v>91364305</v>
      </c>
      <c r="D9" t="inlineStr">
        <is>
          <t>NISSAN</t>
        </is>
      </c>
      <c r="E9" t="inlineStr">
        <is>
          <t>KICKS S</t>
        </is>
      </c>
      <c r="F9" t="n">
        <v>2019</v>
      </c>
      <c r="G9" s="166" t="n">
        <v>45978</v>
      </c>
      <c r="H9" t="inlineStr">
        <is>
          <t>LISTO PARA LA VENTA</t>
        </is>
      </c>
      <c r="L9" s="169" t="n"/>
    </row>
    <row r="10">
      <c r="A10" t="inlineStr">
        <is>
          <t>Se mantiene disponible</t>
        </is>
      </c>
      <c r="B10" t="n">
        <v>27</v>
      </c>
      <c r="C10" t="n">
        <v>85282515</v>
      </c>
      <c r="D10" t="inlineStr">
        <is>
          <t>HYUNDAI</t>
        </is>
      </c>
      <c r="E10" t="inlineStr">
        <is>
          <t>TUCSON LIM BLACK</t>
        </is>
      </c>
      <c r="F10" t="n">
        <v>2019</v>
      </c>
      <c r="G10" s="166" t="n">
        <v>46028</v>
      </c>
      <c r="H10" t="inlineStr">
        <is>
          <t>LISTO PARA LA VENTA</t>
        </is>
      </c>
      <c r="L10" s="169" t="n"/>
    </row>
    <row r="11">
      <c r="A11" t="inlineStr">
        <is>
          <t>Se mantiene disponible</t>
        </is>
      </c>
      <c r="B11" t="n">
        <v>28</v>
      </c>
      <c r="C11" t="n">
        <v>94475305</v>
      </c>
      <c r="D11" t="inlineStr">
        <is>
          <t>HYUNDAI</t>
        </is>
      </c>
      <c r="E11" t="inlineStr">
        <is>
          <t>ELANTRA SE RED</t>
        </is>
      </c>
      <c r="F11" t="n">
        <v>2020</v>
      </c>
      <c r="G11" s="166" t="n">
        <v>46029</v>
      </c>
      <c r="H11" t="inlineStr">
        <is>
          <t>LISTO PARA LA VENTA</t>
        </is>
      </c>
      <c r="L11" s="169" t="n"/>
    </row>
    <row r="12">
      <c r="A12" t="inlineStr">
        <is>
          <t>Se mantiene disponible</t>
        </is>
      </c>
      <c r="B12" t="n">
        <v>30</v>
      </c>
      <c r="C12" t="n">
        <v>95636305</v>
      </c>
      <c r="D12" t="inlineStr">
        <is>
          <t>NISSAN</t>
        </is>
      </c>
      <c r="E12" t="inlineStr">
        <is>
          <t>SENTRA SV</t>
        </is>
      </c>
      <c r="F12" t="n">
        <v>2020</v>
      </c>
      <c r="G12" s="166" t="n">
        <v>46029</v>
      </c>
      <c r="H12" t="inlineStr">
        <is>
          <t>LISTO PARA LA VENTA</t>
        </is>
      </c>
      <c r="L12" s="169" t="n"/>
    </row>
    <row r="13">
      <c r="A13" t="inlineStr">
        <is>
          <t>Se mantiene disponible</t>
        </is>
      </c>
      <c r="B13" t="n">
        <v>32</v>
      </c>
      <c r="C13" t="n">
        <v>97552065</v>
      </c>
      <c r="D13" t="inlineStr">
        <is>
          <t>CHEVROLET</t>
        </is>
      </c>
      <c r="E13" t="inlineStr">
        <is>
          <t>TRAX LS</t>
        </is>
      </c>
      <c r="F13" t="n">
        <v>2019</v>
      </c>
      <c r="G13" s="166" t="n">
        <v>46076</v>
      </c>
      <c r="H13" t="inlineStr">
        <is>
          <t>LISTO PARA LA VENTA</t>
        </is>
      </c>
      <c r="L13" s="169" t="n"/>
    </row>
    <row r="14">
      <c r="A14" t="inlineStr">
        <is>
          <t>Se mantiene disponible</t>
        </is>
      </c>
      <c r="B14" t="n">
        <v>65</v>
      </c>
      <c r="C14" s="171" t="inlineStr">
        <is>
          <t>LOCAL</t>
        </is>
      </c>
      <c r="D14" t="inlineStr">
        <is>
          <t>CHEVROLET</t>
        </is>
      </c>
      <c r="E14" t="inlineStr">
        <is>
          <t>COLORADO</t>
        </is>
      </c>
      <c r="F14" t="n">
        <v>2020</v>
      </c>
      <c r="G14" s="166" t="n">
        <v>46140</v>
      </c>
      <c r="H14" t="inlineStr">
        <is>
          <t>LISTO PARA LA VENTA</t>
        </is>
      </c>
      <c r="L14" s="169" t="n"/>
    </row>
    <row r="15">
      <c r="A15" t="inlineStr">
        <is>
          <t>Entró a disponible en junio</t>
        </is>
      </c>
      <c r="B15" t="n">
        <v>39</v>
      </c>
      <c r="C15" t="n">
        <v>92667555</v>
      </c>
      <c r="D15" t="inlineStr">
        <is>
          <t>HYUNDAI</t>
        </is>
      </c>
      <c r="E15" t="inlineStr">
        <is>
          <t>ELANTRA SEL</t>
        </is>
      </c>
      <c r="F15" t="n">
        <v>2019</v>
      </c>
      <c r="G15" s="166" t="n">
        <v>46097</v>
      </c>
      <c r="H15" t="inlineStr">
        <is>
          <t>LISTO PARA LA VENTA</t>
        </is>
      </c>
      <c r="L15" s="169" t="n"/>
    </row>
    <row r="16">
      <c r="A16" t="inlineStr">
        <is>
          <t>Entró a disponible en junio</t>
        </is>
      </c>
      <c r="B16" t="n">
        <v>44</v>
      </c>
      <c r="C16" t="n">
        <v>77514225</v>
      </c>
      <c r="D16" t="inlineStr">
        <is>
          <t>HYUNDAI</t>
        </is>
      </c>
      <c r="E16" t="inlineStr">
        <is>
          <t>ACCENT LIMITED</t>
        </is>
      </c>
      <c r="F16" t="n">
        <v>2019</v>
      </c>
      <c r="G16" s="166" t="n">
        <v>46099</v>
      </c>
      <c r="H16" t="inlineStr">
        <is>
          <t>LISTO PARA LA VENTA</t>
        </is>
      </c>
      <c r="L16" s="169" t="n"/>
    </row>
    <row r="17">
      <c r="A17" t="inlineStr">
        <is>
          <t>Salió de disponible</t>
        </is>
      </c>
      <c r="B17" t="n">
        <v>34</v>
      </c>
      <c r="C17" t="n">
        <v>95831325</v>
      </c>
      <c r="D17" t="inlineStr">
        <is>
          <t>NISSAN</t>
        </is>
      </c>
      <c r="E17" t="inlineStr">
        <is>
          <t>SENTRA S</t>
        </is>
      </c>
      <c r="F17" t="n">
        <v>2022</v>
      </c>
      <c r="G17" s="166" t="n">
        <v>46077</v>
      </c>
      <c r="H17" t="inlineStr">
        <is>
          <t>VENDIDO / WALTER ADILSON ZEPEDA RIVAS</t>
        </is>
      </c>
      <c r="L17" s="169" t="n"/>
    </row>
    <row r="18">
      <c r="A18" t="inlineStr">
        <is>
          <t>Salió de disponible</t>
        </is>
      </c>
      <c r="B18" t="n">
        <v>38</v>
      </c>
      <c r="C18" t="n">
        <v>78140565</v>
      </c>
      <c r="D18" t="inlineStr">
        <is>
          <t>NISSAN</t>
        </is>
      </c>
      <c r="E18" t="inlineStr">
        <is>
          <t>VERSA SV</t>
        </is>
      </c>
      <c r="F18" t="n">
        <v>2021</v>
      </c>
      <c r="G18" s="166" t="n">
        <v>46090</v>
      </c>
      <c r="H18" t="inlineStr">
        <is>
          <t>VENDIDO / VENDIDO AL CONTADO</t>
        </is>
      </c>
      <c r="L18" s="169" t="n"/>
    </row>
    <row r="19">
      <c r="G19" s="166" t="n"/>
      <c r="L19" s="169" t="n"/>
    </row>
    <row r="20">
      <c r="G20" s="166" t="n"/>
      <c r="L20" s="169" t="n"/>
    </row>
    <row r="21">
      <c r="G21" s="166" t="n"/>
    </row>
    <row r="22">
      <c r="G22" s="166" t="n"/>
    </row>
    <row r="23">
      <c r="G23" s="166" t="n"/>
    </row>
    <row r="24">
      <c r="G24" s="166" t="n"/>
    </row>
    <row r="25">
      <c r="G25" s="166" t="n"/>
    </row>
    <row r="26">
      <c r="G26" s="166" t="n"/>
    </row>
    <row r="27">
      <c r="G27" s="166" t="n"/>
    </row>
    <row r="28">
      <c r="G28" s="166" t="n"/>
    </row>
    <row r="29">
      <c r="G29" s="166" t="n"/>
    </row>
    <row r="30">
      <c r="G30" s="16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 Guardado</dc:creator>
  <dcterms:created xmlns:dcterms="http://purl.org/dc/terms/" xmlns:xsi="http://www.w3.org/2001/XMLSchema-instance" xsi:type="dcterms:W3CDTF">2026-06-06T14:33:25Z</dcterms:created>
  <dcterms:modified xmlns:dcterms="http://purl.org/dc/terms/" xmlns:xsi="http://www.w3.org/2001/XMLSchema-instance" xsi:type="dcterms:W3CDTF">2026-06-10T22:45:34Z</dcterms:modified>
  <cp:lastModifiedBy>Jonathan Guardado</cp:lastModifiedBy>
</cp:coreProperties>
</file>