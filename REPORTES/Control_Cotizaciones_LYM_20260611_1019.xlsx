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otizaciones" sheetId="1" state="visible" r:id="rId1"/>
    <sheet xmlns:r="http://schemas.openxmlformats.org/officeDocument/2006/relationships" name="Dashboard Cotizaciones" sheetId="2" state="visible" r:id="rId2"/>
  </sheets>
  <definedNames>
    <definedName name="_xlnm._FilterDatabase" localSheetId="0" hidden="1">'Control Cotizaciones'!$A$4:$M$8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color rgb="000B172A"/>
      <sz val="10"/>
    </font>
    <font>
      <b val="1"/>
      <color rgb="00FFFFFF"/>
      <sz val="18"/>
    </font>
    <font>
      <b val="1"/>
      <color rgb="0008285A"/>
      <sz val="11"/>
    </font>
    <font>
      <b val="1"/>
      <color rgb="0008285A"/>
      <sz val="16"/>
    </font>
    <font>
      <b val="1"/>
      <color rgb="00FFFFFF"/>
      <sz val="11"/>
    </font>
    <font>
      <b val="1"/>
      <color rgb="0008285A"/>
      <sz val="10"/>
    </font>
  </fonts>
  <fills count="8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DCFCE7"/>
      </patternFill>
    </fill>
    <fill>
      <patternFill patternType="solid">
        <fgColor rgb="00EFF4F9"/>
      </patternFill>
    </fill>
    <fill>
      <patternFill patternType="solid">
        <fgColor rgb="00FFFFFF"/>
      </patternFill>
    </fill>
    <fill>
      <patternFill patternType="solid">
        <fgColor rgb="00F59A13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Cotizaciones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Cotizaciones'!B9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Cotizaciones'!$A$10</f>
            </numRef>
          </cat>
          <val>
            <numRef>
              <f>'Dashboard Cotizaciones'!$B$10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Medios de contacto</a:t>
            </a:r>
          </a:p>
        </rich>
      </tx>
    </title>
    <plotArea>
      <pieChart>
        <varyColors val="1"/>
        <ser>
          <idx val="0"/>
          <order val="0"/>
          <tx>
            <strRef>
              <f>'Dashboard Cotizaciones'!E9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Cotizaciones'!$D$10:$D$12</f>
            </numRef>
          </cat>
          <val>
            <numRef>
              <f>'Dashboard Cotizaciones'!$E$10:$E$12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Carros más cotizados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Cotizaciones'!K9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Cotizaciones'!$J$10:$J$13</f>
            </numRef>
          </cat>
          <val>
            <numRef>
              <f>'Dashboard Cotizaciones'!$K$10:$K$13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22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CONTROL DE COTIZACIONES - L&amp;M INVERSIONES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2" t="inlineStr">
        <is>
          <t>FECHA</t>
        </is>
      </c>
      <c r="B4" s="2" t="inlineStr">
        <is>
          <t>CORRELATIVO</t>
        </is>
      </c>
      <c r="C4" s="2" t="inlineStr">
        <is>
          <t>NOMBRE DEL CLIENTE</t>
        </is>
      </c>
      <c r="D4" s="2" t="inlineStr">
        <is>
          <t>VEHÍCULO COTIZADO</t>
        </is>
      </c>
      <c r="E4" s="2" t="inlineStr">
        <is>
          <t>AÑO</t>
        </is>
      </c>
      <c r="F4" s="2" t="inlineStr">
        <is>
          <t>TELÉFONO</t>
        </is>
      </c>
      <c r="G4" s="2" t="inlineStr">
        <is>
          <t>MEDIO</t>
        </is>
      </c>
      <c r="H4" s="2" t="inlineStr">
        <is>
          <t>TIPO DE NEGOCIO</t>
        </is>
      </c>
      <c r="I4" s="2" t="inlineStr">
        <is>
          <t>OBSERVACIONES</t>
        </is>
      </c>
      <c r="J4" s="2" t="inlineStr">
        <is>
          <t>ESTATUS</t>
        </is>
      </c>
      <c r="K4" s="2" t="inlineStr">
        <is>
          <t>COLOR</t>
        </is>
      </c>
      <c r="L4" s="2" t="inlineStr">
        <is>
          <t>CUOTA</t>
        </is>
      </c>
      <c r="M4" s="2" t="inlineStr">
        <is>
          <t>PRIMA REQUERIDA</t>
        </is>
      </c>
    </row>
    <row r="5">
      <c r="A5" s="3" t="n">
        <v>46183</v>
      </c>
      <c r="B5" s="4" t="inlineStr">
        <is>
          <t>COT-001</t>
        </is>
      </c>
      <c r="C5" s="4" t="inlineStr">
        <is>
          <t>MARIA</t>
        </is>
      </c>
      <c r="D5" s="4" t="inlineStr">
        <is>
          <t>HYUNDAI ELANTRA</t>
        </is>
      </c>
      <c r="E5" s="4" t="n">
        <v>2019</v>
      </c>
      <c r="F5" s="4" t="inlineStr">
        <is>
          <t>9781595</t>
        </is>
      </c>
      <c r="G5" s="4" t="inlineStr">
        <is>
          <t>TIKTOK</t>
        </is>
      </c>
      <c r="H5" s="4" t="inlineStr">
        <is>
          <t>LEASING</t>
        </is>
      </c>
      <c r="I5" s="4" t="inlineStr"/>
      <c r="J5" s="4" t="inlineStr">
        <is>
          <t>Cotización enviada</t>
        </is>
      </c>
      <c r="K5" s="4" t="inlineStr">
        <is>
          <t>VERDE</t>
        </is>
      </c>
      <c r="L5" s="5" t="n">
        <v>371.6</v>
      </c>
      <c r="M5" s="5" t="n">
        <v>1982.2</v>
      </c>
    </row>
    <row r="6">
      <c r="A6" s="3" t="n">
        <v>46183</v>
      </c>
      <c r="B6" s="4" t="inlineStr">
        <is>
          <t>COT-002</t>
        </is>
      </c>
      <c r="C6" s="4" t="inlineStr">
        <is>
          <t>JOSUE</t>
        </is>
      </c>
      <c r="D6" s="4" t="inlineStr">
        <is>
          <t>HONDA CRV</t>
        </is>
      </c>
      <c r="E6" s="4" t="n">
        <v>2020</v>
      </c>
      <c r="F6" s="4" t="inlineStr">
        <is>
          <t>9850419</t>
        </is>
      </c>
      <c r="G6" s="4" t="inlineStr">
        <is>
          <t>FACEBOOK</t>
        </is>
      </c>
      <c r="H6" s="4" t="inlineStr">
        <is>
          <t>LEASING</t>
        </is>
      </c>
      <c r="I6" s="4" t="inlineStr"/>
      <c r="J6" s="4" t="inlineStr">
        <is>
          <t>Cotización enviada</t>
        </is>
      </c>
      <c r="K6" s="4" t="inlineStr">
        <is>
          <t>VERDE</t>
        </is>
      </c>
      <c r="L6" s="5" t="n">
        <v>1170.17</v>
      </c>
      <c r="M6" s="5" t="n">
        <v>2553.64</v>
      </c>
    </row>
    <row r="7">
      <c r="A7" s="3" t="n">
        <v>46183</v>
      </c>
      <c r="B7" s="4" t="inlineStr">
        <is>
          <t>COT-003</t>
        </is>
      </c>
      <c r="C7" s="4" t="inlineStr">
        <is>
          <t>JUANITO</t>
        </is>
      </c>
      <c r="D7" s="4" t="inlineStr">
        <is>
          <t>HYUNDAI ELANTRA</t>
        </is>
      </c>
      <c r="E7" s="4" t="n">
        <v>2020</v>
      </c>
      <c r="F7" s="4" t="inlineStr">
        <is>
          <t>97978181</t>
        </is>
      </c>
      <c r="G7" s="4" t="inlineStr">
        <is>
          <t>TIKTOK</t>
        </is>
      </c>
      <c r="H7" s="4" t="inlineStr">
        <is>
          <t>LEASING</t>
        </is>
      </c>
      <c r="I7" s="4" t="inlineStr"/>
      <c r="J7" s="4" t="inlineStr">
        <is>
          <t>Cotización enviada</t>
        </is>
      </c>
      <c r="K7" s="4" t="inlineStr">
        <is>
          <t>VERDE</t>
        </is>
      </c>
      <c r="L7" s="5" t="n">
        <v>871.04</v>
      </c>
      <c r="M7" s="5" t="n">
        <v>1951.35</v>
      </c>
    </row>
    <row r="8">
      <c r="A8" s="3" t="n">
        <v>46184</v>
      </c>
      <c r="B8" s="4" t="inlineStr">
        <is>
          <t>COT-004</t>
        </is>
      </c>
      <c r="C8" s="4" t="inlineStr">
        <is>
          <t>PEDRO</t>
        </is>
      </c>
      <c r="D8" s="4" t="inlineStr">
        <is>
          <t>HONDA CIVIC</t>
        </is>
      </c>
      <c r="E8" s="4" t="n">
        <v>2018</v>
      </c>
      <c r="F8" s="4" t="inlineStr">
        <is>
          <t>98989898</t>
        </is>
      </c>
      <c r="G8" s="4" t="inlineStr">
        <is>
          <t>REFERIDO</t>
        </is>
      </c>
      <c r="H8" s="4" t="inlineStr">
        <is>
          <t>LEASING</t>
        </is>
      </c>
      <c r="I8" s="4" t="inlineStr"/>
      <c r="J8" s="4" t="inlineStr">
        <is>
          <t>Cotización enviada</t>
        </is>
      </c>
      <c r="K8" s="4" t="inlineStr">
        <is>
          <t>VERDE</t>
        </is>
      </c>
      <c r="L8" s="5" t="n">
        <v>278.71</v>
      </c>
      <c r="M8" s="5" t="n">
        <v>570</v>
      </c>
    </row>
  </sheetData>
  <autoFilter ref="A4:M8"/>
  <mergeCells count="1">
    <mergeCell ref="A1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6" t="inlineStr">
        <is>
          <t>DASHBOARD GERENCIAL DE COTIZACIONES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7" t="inlineStr">
        <is>
          <t>Corte 11 de Junio de 2026 · Seguimiento comercial por cliente, medio, color y vehículo cotizado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4">
      <c r="A4" s="2" t="inlineStr">
        <is>
          <t>Total</t>
        </is>
      </c>
      <c r="B4" s="2" t="inlineStr">
        <is>
          <t>Verde</t>
        </is>
      </c>
      <c r="C4" s="2" t="inlineStr">
        <is>
          <t>Amarillo</t>
        </is>
      </c>
      <c r="D4" s="2" t="inlineStr">
        <is>
          <t>Rojo</t>
        </is>
      </c>
      <c r="E4" s="2" t="inlineStr">
        <is>
          <t>Ganadas</t>
        </is>
      </c>
      <c r="F4" s="2" t="inlineStr">
        <is>
          <t>Reofertar</t>
        </is>
      </c>
      <c r="G4" s="2" t="inlineStr">
        <is>
          <t>Perdidas</t>
        </is>
      </c>
    </row>
    <row r="5">
      <c r="A5" s="8" t="n">
        <v>4</v>
      </c>
      <c r="B5" s="8" t="n">
        <v>4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</row>
    <row r="8">
      <c r="A8" s="9" t="inlineStr">
        <is>
          <t>Cotizaciones por mes</t>
        </is>
      </c>
      <c r="B8" s="9" t="n"/>
      <c r="D8" s="9" t="inlineStr">
        <is>
          <t>Medios de contacto</t>
        </is>
      </c>
      <c r="E8" s="9" t="n"/>
      <c r="G8" s="9" t="inlineStr">
        <is>
          <t>Colores seguimiento</t>
        </is>
      </c>
      <c r="H8" s="9" t="n"/>
      <c r="J8" s="9" t="inlineStr">
        <is>
          <t>Carros más cotizados</t>
        </is>
      </c>
      <c r="K8" s="9" t="n"/>
    </row>
    <row r="9">
      <c r="A9" s="10" t="inlineStr">
        <is>
          <t>Concepto</t>
        </is>
      </c>
      <c r="B9" s="10" t="inlineStr">
        <is>
          <t>Cantidad</t>
        </is>
      </c>
      <c r="D9" s="10" t="inlineStr">
        <is>
          <t>Concepto</t>
        </is>
      </c>
      <c r="E9" s="10" t="inlineStr">
        <is>
          <t>Cantidad</t>
        </is>
      </c>
      <c r="G9" s="10" t="inlineStr">
        <is>
          <t>Concepto</t>
        </is>
      </c>
      <c r="H9" s="10" t="inlineStr">
        <is>
          <t>Cantidad</t>
        </is>
      </c>
      <c r="J9" s="10" t="inlineStr">
        <is>
          <t>Concepto</t>
        </is>
      </c>
      <c r="K9" s="10" t="inlineStr">
        <is>
          <t>Cantidad</t>
        </is>
      </c>
    </row>
    <row r="10">
      <c r="A10" s="11" t="inlineStr">
        <is>
          <t>2026-06</t>
        </is>
      </c>
      <c r="B10" s="11" t="n">
        <v>4</v>
      </c>
      <c r="D10" s="11" t="inlineStr">
        <is>
          <t>TIKTOK</t>
        </is>
      </c>
      <c r="E10" s="11" t="n">
        <v>2</v>
      </c>
      <c r="G10" s="11" t="inlineStr">
        <is>
          <t>VERDE</t>
        </is>
      </c>
      <c r="H10" s="11" t="n">
        <v>4</v>
      </c>
      <c r="J10" s="11" t="inlineStr">
        <is>
          <t>HYUNDAI ELANTRA 2019</t>
        </is>
      </c>
      <c r="K10" s="11" t="n">
        <v>1</v>
      </c>
    </row>
    <row r="11">
      <c r="D11" s="11" t="inlineStr">
        <is>
          <t>FACEBOOK</t>
        </is>
      </c>
      <c r="E11" s="11" t="n">
        <v>1</v>
      </c>
      <c r="G11" s="11" t="inlineStr">
        <is>
          <t>AMARILLO</t>
        </is>
      </c>
      <c r="H11" s="11" t="n">
        <v>0</v>
      </c>
      <c r="J11" s="11" t="inlineStr">
        <is>
          <t>HONDA CRV 2020</t>
        </is>
      </c>
      <c r="K11" s="11" t="n">
        <v>1</v>
      </c>
    </row>
    <row r="12">
      <c r="D12" s="11" t="inlineStr">
        <is>
          <t>REFERIDO</t>
        </is>
      </c>
      <c r="E12" s="11" t="n">
        <v>1</v>
      </c>
      <c r="G12" s="11" t="inlineStr">
        <is>
          <t>ROJO</t>
        </is>
      </c>
      <c r="H12" s="11" t="n">
        <v>0</v>
      </c>
      <c r="J12" s="11" t="inlineStr">
        <is>
          <t>HYUNDAI ELANTRA 2020</t>
        </is>
      </c>
      <c r="K12" s="11" t="n">
        <v>1</v>
      </c>
    </row>
    <row r="13">
      <c r="G13" s="11" t="inlineStr">
        <is>
          <t>GANADAS</t>
        </is>
      </c>
      <c r="H13" s="11" t="n">
        <v>0</v>
      </c>
      <c r="J13" s="11" t="inlineStr">
        <is>
          <t>HONDA CIVIC 2018</t>
        </is>
      </c>
      <c r="K13" s="11" t="n">
        <v>1</v>
      </c>
    </row>
    <row r="14">
      <c r="G14" s="11" t="inlineStr">
        <is>
          <t>REOFERTAR</t>
        </is>
      </c>
      <c r="H14" s="11" t="n">
        <v>0</v>
      </c>
    </row>
    <row r="15">
      <c r="G15" s="11" t="inlineStr">
        <is>
          <t>PERDIDAS</t>
        </is>
      </c>
      <c r="H15" s="11" t="n">
        <v>0</v>
      </c>
    </row>
    <row r="42">
      <c r="A42" s="12" t="inlineStr">
        <is>
          <t>ALERTAS COMERCIALES</t>
        </is>
      </c>
      <c r="B42" s="12" t="n"/>
      <c r="C42" s="12" t="n"/>
      <c r="D42" s="12" t="n"/>
      <c r="E42" s="12" t="n"/>
      <c r="F42" s="12" t="n"/>
      <c r="G42" s="12" t="n"/>
      <c r="H42" s="12" t="n"/>
    </row>
    <row r="43">
      <c r="A43" t="inlineStr">
        <is>
          <t>LYM-CV-2026-0003: fechas invertidas en Traslado USA.</t>
        </is>
      </c>
    </row>
    <row r="44">
      <c r="A44" t="inlineStr">
        <is>
          <t>LYM-CV-2026-0003: fechas invertidas en Aduana.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2026-06-11T16:19:12Z</dcterms:created>
  <dcterms:modified xmlns:dcterms="http://purl.org/dc/terms/" xmlns:xsi="http://www.w3.org/2001/XMLSchema-instance" xsi:type="dcterms:W3CDTF">2026-06-11T16:19:12Z</dcterms:modified>
</cp:coreProperties>
</file>