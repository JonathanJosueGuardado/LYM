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neral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Reportes Detalle" sheetId="3" state="visible" r:id="rId3"/>
    <sheet xmlns:r="http://schemas.openxmlformats.org/officeDocument/2006/relationships" name="Historial Disponible" sheetId="4" state="visible" r:id="rId4"/>
  </sheets>
  <definedNames>
    <definedName name="_xlnm._FilterDatabase" localSheetId="0" hidden="1">'Inventario General'!$A$4:$AC$15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"/>
  </numFmts>
  <fonts count="10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8285A"/>
      <sz val="11"/>
    </font>
    <font>
      <b val="1"/>
      <color rgb="00FFFFFF"/>
      <sz val="10"/>
    </font>
    <font>
      <b val="1"/>
      <color rgb="00FFFFFF"/>
      <sz val="14"/>
    </font>
    <font>
      <b val="1"/>
      <color rgb="0008285A"/>
      <sz val="10"/>
    </font>
  </fonts>
  <fills count="13">
    <fill>
      <patternFill/>
    </fill>
    <fill>
      <patternFill patternType="gray125"/>
    </fill>
    <fill>
      <patternFill patternType="solid">
        <fgColor rgb="00F59A13"/>
      </patternFill>
    </fill>
    <fill>
      <patternFill patternType="solid">
        <fgColor rgb="0008285A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9E480E"/>
      </patternFill>
    </fill>
    <fill>
      <patternFill patternType="solid">
        <fgColor rgb="00EFF4F9"/>
      </patternFill>
    </fill>
  </fills>
  <borders count="3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165" fontId="4" fillId="8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167" fontId="4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activo sin vendidos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Gerencial'!B9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Gerencial'!$A$10:$A$11</f>
            </numRef>
          </cat>
          <val>
            <numRef>
              <f>'Dashboard Gerencial'!$B$10:$B$11</f>
            </numRef>
          </val>
        </ser>
        <firstSliceAng val="27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general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Gerencial'!I9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Gerencial'!$H$10:$H$12</f>
            </numRef>
          </cat>
          <val>
            <numRef>
              <f>'Dashboard Gerencial'!$I$10:$I$12</f>
            </numRef>
          </val>
        </ser>
        <firstSliceAng val="27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Unidades vendidas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Gerencial'!B26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Gerencial'!$A$27</f>
            </numRef>
          </cat>
          <val>
            <numRef>
              <f>'Dashboard Gerencial'!$B$27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4" customWidth="1" min="5" max="5"/>
    <col width="18" customWidth="1" min="6" max="6"/>
    <col width="8" customWidth="1" min="7" max="7"/>
    <col width="18" customWidth="1" min="8" max="8"/>
    <col width="32" customWidth="1" min="9" max="9"/>
    <col width="20" customWidth="1" min="10" max="10"/>
    <col width="8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2" customWidth="1" min="29" max="29"/>
  </cols>
  <sheetData>
    <row r="2" ht="22" customHeight="1">
      <c r="A2" s="1" t="inlineStr">
        <is>
          <t>INVENTARIO Y ESTATUS DE VEHÍCULOS GENERAL JUNIO 2026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25" customHeight="1">
      <c r="A3" s="2" t="inlineStr">
        <is>
          <t>No.</t>
        </is>
      </c>
      <c r="B3" s="2" t="inlineStr">
        <is>
          <t>LOT</t>
        </is>
      </c>
      <c r="C3" s="2" t="inlineStr">
        <is>
          <t>FECHA DE COMPRA</t>
        </is>
      </c>
      <c r="D3" s="2" t="inlineStr">
        <is>
          <t>FECHA DE VENTA</t>
        </is>
      </c>
      <c r="E3" s="2" t="inlineStr">
        <is>
          <t>VEHÍCULO</t>
        </is>
      </c>
      <c r="F3" s="2" t="n"/>
      <c r="G3" s="2" t="n"/>
      <c r="H3" s="2" t="inlineStr">
        <is>
          <t>ESTATUS</t>
        </is>
      </c>
      <c r="I3" s="2" t="inlineStr">
        <is>
          <t>OBSERVACIONES</t>
        </is>
      </c>
      <c r="J3" s="2" t="inlineStr">
        <is>
          <t>SUMMARY</t>
        </is>
      </c>
      <c r="K3" s="2" t="n"/>
      <c r="L3" s="2" t="inlineStr">
        <is>
          <t>FECHAS LINEALES DEL PROCESO</t>
        </is>
      </c>
      <c r="M3" s="2" t="n"/>
      <c r="N3" s="2" t="n"/>
      <c r="O3" s="2" t="n"/>
      <c r="P3" s="2" t="n"/>
      <c r="Q3" s="2" t="n"/>
      <c r="R3" s="2" t="n"/>
      <c r="S3" s="2" t="inlineStr">
        <is>
          <t>DÍAS POR ETAPA Y TOTALES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30" customHeight="1">
      <c r="A4" s="2" t="n"/>
      <c r="B4" s="2" t="n"/>
      <c r="C4" s="2" t="n"/>
      <c r="D4" s="2" t="n"/>
      <c r="E4" s="2" t="inlineStr">
        <is>
          <t>MARCA</t>
        </is>
      </c>
      <c r="F4" s="2" t="inlineStr">
        <is>
          <t>MODELO</t>
        </is>
      </c>
      <c r="G4" s="2" t="inlineStr">
        <is>
          <t>AÑO</t>
        </is>
      </c>
      <c r="H4" s="2" t="n"/>
      <c r="I4" s="2" t="n"/>
      <c r="J4" s="2" t="inlineStr">
        <is>
          <t>ESTATUS</t>
        </is>
      </c>
      <c r="K4" s="2" t="inlineStr">
        <is>
          <t>CANTIDAD</t>
        </is>
      </c>
      <c r="L4" s="2" t="inlineStr">
        <is>
          <t>FECHA TRASLADO GRÚA</t>
        </is>
      </c>
      <c r="M4" s="2" t="inlineStr">
        <is>
          <t>LLEGADA YARDA</t>
        </is>
      </c>
      <c r="N4" s="2" t="inlineStr">
        <is>
          <t>INICIO TRÁNSITO</t>
        </is>
      </c>
      <c r="O4" s="2" t="inlineStr">
        <is>
          <t>LLEGADA ADUANA</t>
        </is>
      </c>
      <c r="P4" s="2" t="inlineStr">
        <is>
          <t>INICIO LEGALIZACIÓN</t>
        </is>
      </c>
      <c r="Q4" s="2" t="inlineStr">
        <is>
          <t>INGRESO TALLER</t>
        </is>
      </c>
      <c r="R4" s="2" t="inlineStr">
        <is>
          <t>DISPONIBLE VENTA</t>
        </is>
      </c>
      <c r="S4" s="2" t="inlineStr">
        <is>
          <t>DÍAS TRASLADO</t>
        </is>
      </c>
      <c r="T4" s="2" t="inlineStr">
        <is>
          <t>DÍAS TRÁNSITO</t>
        </is>
      </c>
      <c r="U4" s="2" t="inlineStr">
        <is>
          <t>DÍAS ADUANA</t>
        </is>
      </c>
      <c r="V4" s="2" t="inlineStr">
        <is>
          <t>DÍAS LEGALIZACIÓN</t>
        </is>
      </c>
      <c r="W4" s="2" t="inlineStr">
        <is>
          <t>DÍAS TALLER</t>
        </is>
      </c>
      <c r="X4" s="2" t="inlineStr">
        <is>
          <t>COMPRA → DISPONIBLE</t>
        </is>
      </c>
      <c r="Y4" s="2" t="inlineStr">
        <is>
          <t>COMPRA → VENTA</t>
        </is>
      </c>
      <c r="Z4" s="2" t="inlineStr">
        <is>
          <t>DÍAS SIN VENDER</t>
        </is>
      </c>
      <c r="AA4" s="2" t="inlineStr">
        <is>
          <t>SEMÁFORO</t>
        </is>
      </c>
      <c r="AB4" s="2" t="inlineStr">
        <is>
          <t>MES VENTA</t>
        </is>
      </c>
      <c r="AC4" s="2" t="inlineStr">
        <is>
          <t>TIPO COMPRA</t>
        </is>
      </c>
    </row>
    <row r="5">
      <c r="A5" s="3" t="n">
        <v>1</v>
      </c>
      <c r="B5" s="3" t="inlineStr">
        <is>
          <t>SDAD</t>
        </is>
      </c>
      <c r="C5" s="4" t="n">
        <v>46178</v>
      </c>
      <c r="D5" s="4" t="inlineStr"/>
      <c r="E5" s="3" t="inlineStr">
        <is>
          <t>HYUNDAI</t>
        </is>
      </c>
      <c r="F5" s="3" t="inlineStr">
        <is>
          <t>ELANTRA</t>
        </is>
      </c>
      <c r="G5" s="3" t="n">
        <v>2025</v>
      </c>
      <c r="H5" s="5" t="inlineStr">
        <is>
          <t>DISPONIBLE VENTA</t>
        </is>
      </c>
      <c r="I5" s="3" t="inlineStr"/>
      <c r="J5" s="6" t="inlineStr">
        <is>
          <t>TRANSITO</t>
        </is>
      </c>
      <c r="K5" s="7" t="n">
        <v>1</v>
      </c>
      <c r="L5" s="4" t="n">
        <v>46147</v>
      </c>
      <c r="M5" s="4" t="n">
        <v>46147</v>
      </c>
      <c r="N5" s="4" t="n">
        <v>46160</v>
      </c>
      <c r="O5" s="4" t="n">
        <v>46167</v>
      </c>
      <c r="P5" s="4" t="inlineStr"/>
      <c r="Q5" s="4" t="inlineStr"/>
      <c r="R5" s="4" t="n">
        <v>46172</v>
      </c>
      <c r="S5" s="3" t="n">
        <v>0</v>
      </c>
      <c r="T5" s="3" t="n">
        <v>7</v>
      </c>
      <c r="U5" s="3" t="n">
        <v>0</v>
      </c>
      <c r="V5" s="3" t="inlineStr"/>
      <c r="W5" s="3" t="inlineStr"/>
      <c r="X5" s="3" t="n">
        <v>0</v>
      </c>
      <c r="Y5" s="3" t="inlineStr"/>
      <c r="Z5" s="3" t="n">
        <v>12</v>
      </c>
      <c r="AA5" s="7" t="inlineStr">
        <is>
          <t>OK</t>
        </is>
      </c>
      <c r="AB5" s="3" t="inlineStr"/>
      <c r="AC5" s="3" t="inlineStr">
        <is>
          <t>LOTE</t>
        </is>
      </c>
    </row>
    <row r="6">
      <c r="A6" s="3" t="n">
        <v>2</v>
      </c>
      <c r="B6" s="3" t="inlineStr">
        <is>
          <t>1815616</t>
        </is>
      </c>
      <c r="C6" s="4" t="n">
        <v>46174</v>
      </c>
      <c r="D6" s="4" t="inlineStr"/>
      <c r="E6" s="3" t="inlineStr">
        <is>
          <t>TOYOTA</t>
        </is>
      </c>
      <c r="F6" s="3" t="inlineStr">
        <is>
          <t>MATRIX</t>
        </is>
      </c>
      <c r="G6" s="3" t="n">
        <v>2010</v>
      </c>
      <c r="H6" s="5" t="inlineStr">
        <is>
          <t>DISPONIBLE VENTA</t>
        </is>
      </c>
      <c r="I6" s="3" t="inlineStr"/>
      <c r="J6" s="5" t="inlineStr">
        <is>
          <t>DISPONIBLE VENTA</t>
        </is>
      </c>
      <c r="K6" s="7" t="n">
        <v>6</v>
      </c>
      <c r="L6" s="4" t="n">
        <v>46179</v>
      </c>
      <c r="M6" s="4" t="n">
        <v>46175</v>
      </c>
      <c r="N6" s="4" t="n">
        <v>46176</v>
      </c>
      <c r="O6" s="4" t="n">
        <v>46179</v>
      </c>
      <c r="P6" s="4" t="inlineStr"/>
      <c r="Q6" s="4" t="inlineStr"/>
      <c r="R6" s="4" t="n">
        <v>46179</v>
      </c>
      <c r="S6" s="3" t="n">
        <v>0</v>
      </c>
      <c r="T6" s="3" t="n">
        <v>3</v>
      </c>
      <c r="U6" s="3" t="n">
        <v>0</v>
      </c>
      <c r="V6" s="3" t="inlineStr"/>
      <c r="W6" s="3" t="inlineStr"/>
      <c r="X6" s="3" t="n">
        <v>5</v>
      </c>
      <c r="Y6" s="3" t="inlineStr"/>
      <c r="Z6" s="3" t="n">
        <v>5</v>
      </c>
      <c r="AA6" s="7" t="inlineStr">
        <is>
          <t>OK</t>
        </is>
      </c>
      <c r="AB6" s="3" t="inlineStr"/>
      <c r="AC6" s="3" t="inlineStr">
        <is>
          <t>LOTE</t>
        </is>
      </c>
    </row>
    <row r="7">
      <c r="A7" s="3" t="n">
        <v>3</v>
      </c>
      <c r="B7" s="3" t="inlineStr">
        <is>
          <t>189165</t>
        </is>
      </c>
      <c r="C7" s="4" t="n">
        <v>46144</v>
      </c>
      <c r="D7" s="4" t="inlineStr"/>
      <c r="E7" s="3" t="inlineStr">
        <is>
          <t>FORD</t>
        </is>
      </c>
      <c r="F7" s="3" t="inlineStr">
        <is>
          <t>ESCAPE</t>
        </is>
      </c>
      <c r="G7" s="3" t="n">
        <v>2015</v>
      </c>
      <c r="H7" s="8" t="inlineStr">
        <is>
          <t>VENDIDO</t>
        </is>
      </c>
      <c r="I7" s="3" t="inlineStr">
        <is>
          <t>maria lopez</t>
        </is>
      </c>
      <c r="J7" s="8" t="inlineStr">
        <is>
          <t>VENDIDO JUNIO 2026</t>
        </is>
      </c>
      <c r="K7" s="7" t="n">
        <v>1</v>
      </c>
      <c r="L7" s="4" t="n">
        <v>46145</v>
      </c>
      <c r="M7" s="4" t="n">
        <v>46174</v>
      </c>
      <c r="N7" s="4" t="n">
        <v>46175</v>
      </c>
      <c r="O7" s="4" t="n">
        <v>46176</v>
      </c>
      <c r="P7" s="4" t="inlineStr"/>
      <c r="Q7" s="4" t="inlineStr"/>
      <c r="R7" s="4" t="n">
        <v>46179</v>
      </c>
      <c r="S7" s="3" t="n">
        <v>29</v>
      </c>
      <c r="T7" s="3" t="n">
        <v>1</v>
      </c>
      <c r="U7" s="3" t="n">
        <v>0</v>
      </c>
      <c r="V7" s="3" t="inlineStr"/>
      <c r="W7" s="3" t="inlineStr"/>
      <c r="X7" s="3" t="n">
        <v>35</v>
      </c>
      <c r="Y7" s="3" t="inlineStr"/>
      <c r="Z7" s="3" t="n">
        <v>5</v>
      </c>
      <c r="AA7" s="7" t="inlineStr">
        <is>
          <t>OK</t>
        </is>
      </c>
      <c r="AB7" s="3" t="inlineStr"/>
      <c r="AC7" s="3" t="inlineStr">
        <is>
          <t>LOTE</t>
        </is>
      </c>
    </row>
    <row r="8">
      <c r="A8" s="3" t="n">
        <v>4</v>
      </c>
      <c r="B8" s="3" t="inlineStr">
        <is>
          <t>2859198</t>
        </is>
      </c>
      <c r="C8" s="4" t="n">
        <v>46167</v>
      </c>
      <c r="D8" s="4" t="inlineStr"/>
      <c r="E8" s="3" t="inlineStr">
        <is>
          <t>HONDA</t>
        </is>
      </c>
      <c r="F8" s="3" t="inlineStr">
        <is>
          <t>CIVIC</t>
        </is>
      </c>
      <c r="G8" s="3" t="n">
        <v>2018</v>
      </c>
      <c r="H8" s="5" t="inlineStr">
        <is>
          <t>DISPONIBLE VENTA</t>
        </is>
      </c>
      <c r="I8" s="3" t="inlineStr"/>
      <c r="J8" s="8" t="inlineStr">
        <is>
          <t>VENDIDO TOTAL</t>
        </is>
      </c>
      <c r="K8" s="7" t="n">
        <v>4</v>
      </c>
      <c r="L8" s="4" t="n">
        <v>46168</v>
      </c>
      <c r="M8" s="4" t="n">
        <v>46168</v>
      </c>
      <c r="N8" s="4" t="n">
        <v>46179</v>
      </c>
      <c r="O8" s="4" t="n">
        <v>46179</v>
      </c>
      <c r="P8" s="4" t="n">
        <v>46180</v>
      </c>
      <c r="Q8" s="4" t="n">
        <v>46182</v>
      </c>
      <c r="R8" s="4" t="n">
        <v>46183</v>
      </c>
      <c r="S8" s="3" t="n">
        <v>0</v>
      </c>
      <c r="T8" s="3" t="n">
        <v>0</v>
      </c>
      <c r="U8" s="3" t="n">
        <v>1</v>
      </c>
      <c r="V8" s="3" t="n">
        <v>2</v>
      </c>
      <c r="W8" s="3" t="n">
        <v>1</v>
      </c>
      <c r="X8" s="3" t="n">
        <v>16</v>
      </c>
      <c r="Y8" s="3" t="inlineStr"/>
      <c r="Z8" s="3" t="n">
        <v>1</v>
      </c>
      <c r="AA8" s="7" t="inlineStr">
        <is>
          <t>OK</t>
        </is>
      </c>
      <c r="AB8" s="3" t="inlineStr"/>
      <c r="AC8" s="3" t="inlineStr">
        <is>
          <t>LOTE</t>
        </is>
      </c>
    </row>
    <row r="9">
      <c r="A9" s="3" t="n">
        <v>5</v>
      </c>
      <c r="B9" s="3" t="inlineStr">
        <is>
          <t>LT1951</t>
        </is>
      </c>
      <c r="C9" s="4" t="n">
        <v>46146</v>
      </c>
      <c r="D9" s="4" t="inlineStr"/>
      <c r="E9" s="3" t="inlineStr">
        <is>
          <t>HYUNDAI</t>
        </is>
      </c>
      <c r="F9" s="3" t="inlineStr">
        <is>
          <t>SANTA FE</t>
        </is>
      </c>
      <c r="G9" s="3" t="n">
        <v>2019</v>
      </c>
      <c r="H9" s="6" t="inlineStr">
        <is>
          <t>TRANSITO</t>
        </is>
      </c>
      <c r="I9" s="3" t="inlineStr"/>
      <c r="J9" s="7" t="inlineStr">
        <is>
          <t>INVENTARIO TOTAL</t>
        </is>
      </c>
      <c r="K9" s="7" t="n">
        <v>11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7" t="inlineStr">
        <is>
          <t>OK</t>
        </is>
      </c>
      <c r="AB9" s="3" t="inlineStr"/>
      <c r="AC9" s="3" t="inlineStr">
        <is>
          <t>LOTE</t>
        </is>
      </c>
    </row>
    <row r="10">
      <c r="A10" s="3" t="n">
        <v>6</v>
      </c>
      <c r="B10" s="3" t="inlineStr">
        <is>
          <t>LOTE 51</t>
        </is>
      </c>
      <c r="C10" s="4" t="n">
        <v>46143</v>
      </c>
      <c r="D10" s="4" t="inlineStr"/>
      <c r="E10" s="3" t="inlineStr">
        <is>
          <t>HONDA</t>
        </is>
      </c>
      <c r="F10" s="3" t="inlineStr">
        <is>
          <t>CIVIC</t>
        </is>
      </c>
      <c r="G10" s="3" t="n">
        <v>2019</v>
      </c>
      <c r="H10" s="8" t="inlineStr">
        <is>
          <t>VENDIDO</t>
        </is>
      </c>
      <c r="I10" s="3" t="inlineStr">
        <is>
          <t>LUPITA</t>
        </is>
      </c>
      <c r="J10" s="3" t="inlineStr"/>
      <c r="K10" s="3" t="inlineStr"/>
      <c r="L10" s="4" t="n">
        <v>46146</v>
      </c>
      <c r="M10" s="4" t="n">
        <v>46150</v>
      </c>
      <c r="N10" s="4" t="n">
        <v>46154</v>
      </c>
      <c r="O10" s="4" t="n">
        <v>46157</v>
      </c>
      <c r="P10" s="4" t="inlineStr"/>
      <c r="Q10" s="4" t="inlineStr"/>
      <c r="R10" s="4" t="n">
        <v>46169</v>
      </c>
      <c r="S10" s="3" t="n">
        <v>4</v>
      </c>
      <c r="T10" s="3" t="n">
        <v>3</v>
      </c>
      <c r="U10" s="3" t="n">
        <v>5</v>
      </c>
      <c r="V10" s="3" t="inlineStr"/>
      <c r="W10" s="3" t="inlineStr"/>
      <c r="X10" s="3" t="n">
        <v>26</v>
      </c>
      <c r="Y10" s="3" t="inlineStr"/>
      <c r="Z10" s="3" t="n">
        <v>15</v>
      </c>
      <c r="AA10" s="7" t="inlineStr">
        <is>
          <t>OK</t>
        </is>
      </c>
      <c r="AB10" s="3" t="inlineStr"/>
      <c r="AC10" s="3" t="inlineStr">
        <is>
          <t>LOTE</t>
        </is>
      </c>
    </row>
    <row r="11">
      <c r="A11" s="3" t="n">
        <v>7</v>
      </c>
      <c r="B11" s="3" t="inlineStr">
        <is>
          <t>LOTE 5</t>
        </is>
      </c>
      <c r="C11" s="4" t="n">
        <v>46153</v>
      </c>
      <c r="D11" s="4" t="inlineStr"/>
      <c r="E11" s="3" t="inlineStr">
        <is>
          <t>FORD</t>
        </is>
      </c>
      <c r="F11" s="3" t="inlineStr">
        <is>
          <t>ESCAPE</t>
        </is>
      </c>
      <c r="G11" s="3" t="n">
        <v>2017</v>
      </c>
      <c r="H11" s="8" t="inlineStr">
        <is>
          <t>VENDIDO</t>
        </is>
      </c>
      <c r="I11" s="3" t="inlineStr">
        <is>
          <t>MARIA</t>
        </is>
      </c>
      <c r="J11" s="3" t="inlineStr"/>
      <c r="K11" s="3" t="inlineStr"/>
      <c r="L11" s="4" t="n">
        <v>46182</v>
      </c>
      <c r="M11" s="4" t="n">
        <v>46182</v>
      </c>
      <c r="N11" s="4" t="n">
        <v>46182</v>
      </c>
      <c r="O11" s="4" t="n">
        <v>46182</v>
      </c>
      <c r="P11" s="4" t="inlineStr"/>
      <c r="Q11" s="4" t="inlineStr"/>
      <c r="R11" s="4" t="n">
        <v>46182</v>
      </c>
      <c r="S11" s="3" t="n">
        <v>0</v>
      </c>
      <c r="T11" s="3" t="n">
        <v>0</v>
      </c>
      <c r="U11" s="3" t="n">
        <v>0</v>
      </c>
      <c r="V11" s="3" t="inlineStr"/>
      <c r="W11" s="3" t="inlineStr"/>
      <c r="X11" s="3" t="n">
        <v>29</v>
      </c>
      <c r="Y11" s="3" t="inlineStr"/>
      <c r="Z11" s="3" t="n">
        <v>2</v>
      </c>
      <c r="AA11" s="7" t="inlineStr">
        <is>
          <t>OK</t>
        </is>
      </c>
      <c r="AB11" s="3" t="inlineStr"/>
      <c r="AC11" s="3" t="inlineStr">
        <is>
          <t>LOTE</t>
        </is>
      </c>
    </row>
    <row r="12">
      <c r="A12" s="3" t="n">
        <v>8</v>
      </c>
      <c r="B12" s="3" t="inlineStr">
        <is>
          <t>69991855</t>
        </is>
      </c>
      <c r="C12" s="4" t="n">
        <v>46162</v>
      </c>
      <c r="D12" s="4" t="inlineStr"/>
      <c r="E12" s="3" t="inlineStr">
        <is>
          <t>HONDA</t>
        </is>
      </c>
      <c r="F12" s="3" t="inlineStr">
        <is>
          <t>CIVIC</t>
        </is>
      </c>
      <c r="G12" s="3" t="n">
        <v>2017</v>
      </c>
      <c r="H12" s="5" t="inlineStr">
        <is>
          <t>DISPONIBLE VENTA</t>
        </is>
      </c>
      <c r="I12" s="3" t="inlineStr"/>
      <c r="J12" s="3" t="inlineStr"/>
      <c r="K12" s="3" t="inlineStr"/>
      <c r="L12" s="4" t="n">
        <v>46182</v>
      </c>
      <c r="M12" s="4" t="n">
        <v>46182</v>
      </c>
      <c r="N12" s="4" t="n">
        <v>46182</v>
      </c>
      <c r="O12" s="4" t="n">
        <v>46182</v>
      </c>
      <c r="P12" s="4" t="inlineStr"/>
      <c r="Q12" s="4" t="inlineStr"/>
      <c r="R12" s="4" t="n">
        <v>46182</v>
      </c>
      <c r="S12" s="3" t="n">
        <v>0</v>
      </c>
      <c r="T12" s="3" t="n">
        <v>0</v>
      </c>
      <c r="U12" s="3" t="n">
        <v>0</v>
      </c>
      <c r="V12" s="3" t="inlineStr"/>
      <c r="W12" s="3" t="inlineStr"/>
      <c r="X12" s="3" t="n">
        <v>20</v>
      </c>
      <c r="Y12" s="3" t="inlineStr"/>
      <c r="Z12" s="3" t="n">
        <v>2</v>
      </c>
      <c r="AA12" s="7" t="inlineStr">
        <is>
          <t>OK</t>
        </is>
      </c>
      <c r="AB12" s="3" t="inlineStr"/>
      <c r="AC12" s="3" t="inlineStr">
        <is>
          <t>LOTE</t>
        </is>
      </c>
    </row>
    <row r="13">
      <c r="A13" s="3" t="n">
        <v>9</v>
      </c>
      <c r="B13" s="3" t="inlineStr">
        <is>
          <t>818919148</t>
        </is>
      </c>
      <c r="C13" s="4" t="n">
        <v>46143</v>
      </c>
      <c r="D13" s="4" t="n">
        <v>46184</v>
      </c>
      <c r="E13" s="3" t="inlineStr">
        <is>
          <t>HYUNDAI</t>
        </is>
      </c>
      <c r="F13" s="3" t="inlineStr">
        <is>
          <t>ELANTRA</t>
        </is>
      </c>
      <c r="G13" s="3" t="n">
        <v>2019</v>
      </c>
      <c r="H13" s="8" t="inlineStr">
        <is>
          <t>VENDIDO</t>
        </is>
      </c>
      <c r="I13" s="3" t="inlineStr">
        <is>
          <t>MARIA</t>
        </is>
      </c>
      <c r="J13" s="3" t="inlineStr"/>
      <c r="K13" s="3" t="inlineStr"/>
      <c r="L13" s="4" t="n">
        <v>46146</v>
      </c>
      <c r="M13" s="4" t="n">
        <v>46147</v>
      </c>
      <c r="N13" s="4" t="n">
        <v>46148</v>
      </c>
      <c r="O13" s="4" t="n">
        <v>46162</v>
      </c>
      <c r="P13" s="4" t="n">
        <v>46170</v>
      </c>
      <c r="Q13" s="4" t="n">
        <v>46177</v>
      </c>
      <c r="R13" s="4" t="n">
        <v>46181</v>
      </c>
      <c r="S13" s="3" t="n">
        <v>1</v>
      </c>
      <c r="T13" s="3" t="n">
        <v>14</v>
      </c>
      <c r="U13" s="3" t="n">
        <v>7</v>
      </c>
      <c r="V13" s="3" t="n">
        <v>4</v>
      </c>
      <c r="W13" s="3" t="n">
        <v>1</v>
      </c>
      <c r="X13" s="3" t="n">
        <v>38</v>
      </c>
      <c r="Y13" s="3" t="n">
        <v>41</v>
      </c>
      <c r="Z13" s="3" t="inlineStr"/>
      <c r="AA13" s="8" t="inlineStr">
        <is>
          <t>CERRADO</t>
        </is>
      </c>
      <c r="AB13" s="3" t="inlineStr">
        <is>
          <t>junio 2026</t>
        </is>
      </c>
      <c r="AC13" s="3" t="inlineStr">
        <is>
          <t>LOTE</t>
        </is>
      </c>
    </row>
    <row r="14">
      <c r="A14" s="3" t="n">
        <v>10</v>
      </c>
      <c r="B14" s="3" t="inlineStr">
        <is>
          <t>8585</t>
        </is>
      </c>
      <c r="C14" s="4" t="n">
        <v>46139</v>
      </c>
      <c r="D14" s="4" t="inlineStr"/>
      <c r="E14" s="3" t="inlineStr">
        <is>
          <t>HONDA</t>
        </is>
      </c>
      <c r="F14" s="3" t="inlineStr">
        <is>
          <t>CRV</t>
        </is>
      </c>
      <c r="G14" s="3" t="n">
        <v>2020</v>
      </c>
      <c r="H14" s="5" t="inlineStr">
        <is>
          <t>DISPONIBLE VENTA</t>
        </is>
      </c>
      <c r="I14" s="3" t="inlineStr"/>
      <c r="J14" s="3" t="inlineStr"/>
      <c r="K14" s="3" t="inlineStr"/>
      <c r="L14" s="4" t="n">
        <v>46140</v>
      </c>
      <c r="M14" s="4" t="n">
        <v>46141</v>
      </c>
      <c r="N14" s="4" t="n">
        <v>46141</v>
      </c>
      <c r="O14" s="4" t="n">
        <v>46154</v>
      </c>
      <c r="P14" s="4" t="n">
        <v>46162</v>
      </c>
      <c r="Q14" s="4" t="n">
        <v>46165</v>
      </c>
      <c r="R14" s="4" t="n">
        <v>46183</v>
      </c>
      <c r="S14" s="3" t="n">
        <v>1</v>
      </c>
      <c r="T14" s="3" t="n">
        <v>13</v>
      </c>
      <c r="U14" s="3" t="n">
        <v>7</v>
      </c>
      <c r="V14" s="3" t="n">
        <v>11</v>
      </c>
      <c r="W14" s="3" t="n">
        <v>6</v>
      </c>
      <c r="X14" s="3" t="n">
        <v>44</v>
      </c>
      <c r="Y14" s="3" t="inlineStr"/>
      <c r="Z14" s="3" t="n">
        <v>1</v>
      </c>
      <c r="AA14" s="7" t="inlineStr">
        <is>
          <t>OK</t>
        </is>
      </c>
      <c r="AB14" s="3" t="inlineStr"/>
      <c r="AC14" s="3" t="inlineStr">
        <is>
          <t>LOTE</t>
        </is>
      </c>
    </row>
    <row r="15">
      <c r="A15" s="3" t="n">
        <v>11</v>
      </c>
      <c r="B15" s="3" t="inlineStr">
        <is>
          <t>8080</t>
        </is>
      </c>
      <c r="C15" s="4" t="n">
        <v>46146</v>
      </c>
      <c r="D15" s="4" t="inlineStr"/>
      <c r="E15" s="3" t="inlineStr">
        <is>
          <t>HYUNDAI</t>
        </is>
      </c>
      <c r="F15" s="3" t="inlineStr">
        <is>
          <t>ELANTRA</t>
        </is>
      </c>
      <c r="G15" s="3" t="n">
        <v>2020</v>
      </c>
      <c r="H15" s="5" t="inlineStr">
        <is>
          <t>DISPONIBLE VENTA</t>
        </is>
      </c>
      <c r="I15" s="3" t="inlineStr"/>
      <c r="J15" s="3" t="inlineStr"/>
      <c r="K15" s="3" t="inlineStr"/>
      <c r="L15" s="4" t="n">
        <v>46147</v>
      </c>
      <c r="M15" s="4" t="n">
        <v>46148</v>
      </c>
      <c r="N15" s="4" t="n">
        <v>46148</v>
      </c>
      <c r="O15" s="4" t="n">
        <v>46157</v>
      </c>
      <c r="P15" s="4" t="n">
        <v>46164</v>
      </c>
      <c r="Q15" s="4" t="n">
        <v>46174</v>
      </c>
      <c r="R15" s="4" t="n">
        <v>46178</v>
      </c>
      <c r="S15" s="3" t="n">
        <v>1</v>
      </c>
      <c r="T15" s="3" t="n">
        <v>9</v>
      </c>
      <c r="U15" s="3" t="n">
        <v>5</v>
      </c>
      <c r="V15" s="3" t="n">
        <v>7</v>
      </c>
      <c r="W15" s="3" t="n">
        <v>4</v>
      </c>
      <c r="X15" s="3" t="n">
        <v>32</v>
      </c>
      <c r="Y15" s="3" t="inlineStr"/>
      <c r="Z15" s="3" t="n">
        <v>6</v>
      </c>
      <c r="AA15" s="7" t="inlineStr">
        <is>
          <t>OK</t>
        </is>
      </c>
      <c r="AB15" s="3" t="inlineStr"/>
      <c r="AC15" s="3" t="inlineStr">
        <is>
          <t>LOTE</t>
        </is>
      </c>
    </row>
  </sheetData>
  <autoFilter ref="A4:AC15"/>
  <mergeCells count="11">
    <mergeCell ref="S3:AC3"/>
    <mergeCell ref="J3:K3"/>
    <mergeCell ref="C3:C4"/>
    <mergeCell ref="B3:B4"/>
    <mergeCell ref="A3:A4"/>
    <mergeCell ref="H3:H4"/>
    <mergeCell ref="I3:I4"/>
    <mergeCell ref="D3:D4"/>
    <mergeCell ref="L3:R3"/>
    <mergeCell ref="E3:G3"/>
    <mergeCell ref="A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J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4">
      <c r="A4" s="9" t="inlineStr">
        <is>
          <t>Total unidades</t>
        </is>
      </c>
      <c r="B4" s="9" t="inlineStr">
        <is>
          <t>Inventario activo</t>
        </is>
      </c>
      <c r="C4" s="9" t="inlineStr">
        <is>
          <t>Vendidos total</t>
        </is>
      </c>
      <c r="D4" s="9" t="inlineStr">
        <is>
          <t>En tránsito</t>
        </is>
      </c>
      <c r="E4" s="9" t="inlineStr">
        <is>
          <t>Disponibles</t>
        </is>
      </c>
      <c r="F4" s="9" t="inlineStr">
        <is>
          <t>Prom. días venta</t>
        </is>
      </c>
      <c r="G4" s="9" t="inlineStr">
        <is>
          <t>Marca más vendida</t>
        </is>
      </c>
      <c r="H4" s="9" t="inlineStr">
        <is>
          <t>Marca más rápida</t>
        </is>
      </c>
      <c r="I4" s="9" t="inlineStr">
        <is>
          <t>Críticos +120</t>
        </is>
      </c>
    </row>
    <row r="5">
      <c r="A5" s="10" t="n">
        <v>11</v>
      </c>
      <c r="B5" s="10" t="n">
        <v>7</v>
      </c>
      <c r="C5" s="10" t="n">
        <v>4</v>
      </c>
      <c r="D5" s="10" t="n">
        <v>1</v>
      </c>
      <c r="E5" s="10" t="n">
        <v>6</v>
      </c>
      <c r="F5" s="10" t="n">
        <v>41</v>
      </c>
      <c r="G5" s="10" t="inlineStr">
        <is>
          <t>FORD, HONDA</t>
        </is>
      </c>
      <c r="H5" s="10" t="inlineStr">
        <is>
          <t>HYUNDAI</t>
        </is>
      </c>
      <c r="I5" s="10" t="n">
        <v>0</v>
      </c>
    </row>
    <row r="8">
      <c r="A8" s="11" t="inlineStr">
        <is>
          <t>ESTATUS ACTIVO — 100% SIN VENDIDOS</t>
        </is>
      </c>
      <c r="B8" s="11" t="n"/>
      <c r="C8" s="11" t="n"/>
      <c r="H8" s="12" t="inlineStr">
        <is>
          <t>ESTATUS GENERAL — 100% INCLUYE VENDIDOS</t>
        </is>
      </c>
      <c r="I8" s="12" t="n"/>
      <c r="J8" s="12" t="n"/>
    </row>
    <row r="9">
      <c r="A9" s="13" t="inlineStr">
        <is>
          <t>Estatus</t>
        </is>
      </c>
      <c r="B9" s="13" t="inlineStr">
        <is>
          <t>Cantidad</t>
        </is>
      </c>
      <c r="C9" s="13" t="inlineStr">
        <is>
          <t>% activo</t>
        </is>
      </c>
      <c r="H9" s="13" t="inlineStr">
        <is>
          <t>Estatus</t>
        </is>
      </c>
      <c r="I9" s="13" t="inlineStr">
        <is>
          <t>Cantidad</t>
        </is>
      </c>
      <c r="J9" s="13" t="inlineStr">
        <is>
          <t>% total</t>
        </is>
      </c>
    </row>
    <row r="10">
      <c r="A10" s="14" t="inlineStr">
        <is>
          <t>DISPONIBLE VENTA</t>
        </is>
      </c>
      <c r="B10" s="14" t="n">
        <v>6</v>
      </c>
      <c r="C10" s="15" t="n">
        <v>0.8571428571428571</v>
      </c>
      <c r="H10" s="14" t="inlineStr">
        <is>
          <t>DISPONIBLE VENTA</t>
        </is>
      </c>
      <c r="I10" s="14" t="n">
        <v>6</v>
      </c>
      <c r="J10" s="15" t="n">
        <v>0.5454545454545454</v>
      </c>
    </row>
    <row r="11">
      <c r="A11" s="14" t="inlineStr">
        <is>
          <t>TRANSITO</t>
        </is>
      </c>
      <c r="B11" s="14" t="n">
        <v>1</v>
      </c>
      <c r="C11" s="15" t="n">
        <v>0.1428571428571428</v>
      </c>
      <c r="H11" s="14" t="inlineStr">
        <is>
          <t>VENDIDO</t>
        </is>
      </c>
      <c r="I11" s="14" t="n">
        <v>4</v>
      </c>
      <c r="J11" s="15" t="n">
        <v>0.3636363636363636</v>
      </c>
    </row>
    <row r="12">
      <c r="H12" s="14" t="inlineStr">
        <is>
          <t>TRANSITO</t>
        </is>
      </c>
      <c r="I12" s="14" t="n">
        <v>1</v>
      </c>
      <c r="J12" s="15" t="n">
        <v>0.09090909090909091</v>
      </c>
    </row>
    <row r="25">
      <c r="A25" s="16" t="inlineStr">
        <is>
          <t>VENTAS POR MES, % Y VARIACIÓN MENSUAL</t>
        </is>
      </c>
      <c r="B25" s="16" t="n"/>
      <c r="C25" s="16" t="n"/>
      <c r="D25" s="16" t="n"/>
      <c r="E25" s="16" t="n"/>
      <c r="F25" s="16" t="n"/>
    </row>
    <row r="26">
      <c r="A26" s="13" t="inlineStr">
        <is>
          <t>Mes</t>
        </is>
      </c>
      <c r="B26" s="13" t="inlineStr">
        <is>
          <t>Vendidos</t>
        </is>
      </c>
      <c r="C26" s="13" t="inlineStr">
        <is>
          <t>% vendidos</t>
        </is>
      </c>
      <c r="D26" s="13" t="inlineStr">
        <is>
          <t>Variación vs mes anterior</t>
        </is>
      </c>
      <c r="E26" s="13" t="inlineStr">
        <is>
          <t>Tendencia</t>
        </is>
      </c>
      <c r="F26" s="13" t="inlineStr">
        <is>
          <t>Marcas vendidas</t>
        </is>
      </c>
    </row>
    <row r="27">
      <c r="A27" s="14" t="inlineStr">
        <is>
          <t>Junio 2026</t>
        </is>
      </c>
      <c r="B27" s="14" t="n">
        <v>1</v>
      </c>
      <c r="C27" s="15" t="n">
        <v>0.25</v>
      </c>
      <c r="D27" s="14" t="inlineStr">
        <is>
          <t>Sin comparación</t>
        </is>
      </c>
      <c r="E27" s="14" t="inlineStr">
        <is>
          <t>Sin comparación</t>
        </is>
      </c>
      <c r="F27" s="14" t="inlineStr">
        <is>
          <t>HYUNDAI (1)</t>
        </is>
      </c>
    </row>
  </sheetData>
  <mergeCells count="3">
    <mergeCell ref="H8:J8"/>
    <mergeCell ref="A8:C8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7" t="inlineStr">
        <is>
          <t>DETALLE DE TIEMPOS POR VEHÍCULO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</row>
    <row r="3">
      <c r="A3" s="13" t="inlineStr">
        <is>
          <t>Código</t>
        </is>
      </c>
      <c r="B3" s="13" t="inlineStr">
        <is>
          <t>Vehículo</t>
        </is>
      </c>
      <c r="C3" s="13" t="inlineStr">
        <is>
          <t>Compra</t>
        </is>
      </c>
      <c r="D3" s="13" t="inlineStr">
        <is>
          <t>Traslado grúa</t>
        </is>
      </c>
      <c r="E3" s="13" t="inlineStr">
        <is>
          <t>Yarda</t>
        </is>
      </c>
      <c r="F3" s="13" t="inlineStr">
        <is>
          <t>Tránsito</t>
        </is>
      </c>
      <c r="G3" s="13" t="inlineStr">
        <is>
          <t>Aduana</t>
        </is>
      </c>
      <c r="H3" s="13" t="inlineStr">
        <is>
          <t>Legalización</t>
        </is>
      </c>
      <c r="I3" s="13" t="inlineStr">
        <is>
          <t>Taller</t>
        </is>
      </c>
      <c r="J3" s="13" t="inlineStr">
        <is>
          <t>Disponible</t>
        </is>
      </c>
      <c r="K3" s="13" t="inlineStr">
        <is>
          <t>Venta</t>
        </is>
      </c>
      <c r="L3" s="13" t="inlineStr">
        <is>
          <t>Días compra→disp</t>
        </is>
      </c>
      <c r="M3" s="13" t="inlineStr">
        <is>
          <t>Días compra→venta</t>
        </is>
      </c>
    </row>
    <row r="4">
      <c r="A4" s="3" t="inlineStr">
        <is>
          <t>LYM-CV-2026-0001</t>
        </is>
      </c>
      <c r="B4" s="3" t="inlineStr">
        <is>
          <t>HYUNDAI ELANTRA 2025</t>
        </is>
      </c>
      <c r="C4" s="4" t="n">
        <v>46178</v>
      </c>
      <c r="D4" s="4" t="n">
        <v>46147</v>
      </c>
      <c r="E4" s="4" t="n">
        <v>46147</v>
      </c>
      <c r="F4" s="4" t="n">
        <v>46160</v>
      </c>
      <c r="G4" s="4" t="n">
        <v>46167</v>
      </c>
      <c r="H4" s="4" t="n"/>
      <c r="I4" s="4" t="n"/>
      <c r="J4" s="4" t="n">
        <v>46172</v>
      </c>
      <c r="K4" s="4" t="n"/>
      <c r="L4" s="3" t="n">
        <v>0</v>
      </c>
      <c r="M4" s="3" t="n"/>
    </row>
    <row r="5">
      <c r="A5" s="3" t="inlineStr">
        <is>
          <t>LYM-CV-2026-0003</t>
        </is>
      </c>
      <c r="B5" s="3" t="inlineStr">
        <is>
          <t>TOYOTA MATRIX 2010</t>
        </is>
      </c>
      <c r="C5" s="4" t="n">
        <v>46174</v>
      </c>
      <c r="D5" s="4" t="n">
        <v>46179</v>
      </c>
      <c r="E5" s="4" t="n">
        <v>46175</v>
      </c>
      <c r="F5" s="4" t="n">
        <v>46176</v>
      </c>
      <c r="G5" s="4" t="n">
        <v>46179</v>
      </c>
      <c r="H5" s="4" t="n"/>
      <c r="I5" s="4" t="n"/>
      <c r="J5" s="4" t="n">
        <v>46179</v>
      </c>
      <c r="K5" s="4" t="n"/>
      <c r="L5" s="3" t="n">
        <v>5</v>
      </c>
      <c r="M5" s="3" t="n"/>
    </row>
    <row r="6">
      <c r="A6" s="3" t="inlineStr">
        <is>
          <t>LYM-CV-2026-0004</t>
        </is>
      </c>
      <c r="B6" s="3" t="inlineStr">
        <is>
          <t>FORD ESCAPE 2015</t>
        </is>
      </c>
      <c r="C6" s="4" t="n">
        <v>46144</v>
      </c>
      <c r="D6" s="4" t="n">
        <v>46145</v>
      </c>
      <c r="E6" s="4" t="n">
        <v>46174</v>
      </c>
      <c r="F6" s="4" t="n">
        <v>46175</v>
      </c>
      <c r="G6" s="4" t="n">
        <v>46176</v>
      </c>
      <c r="H6" s="4" t="n"/>
      <c r="I6" s="4" t="n"/>
      <c r="J6" s="4" t="n">
        <v>46179</v>
      </c>
      <c r="K6" s="4" t="n"/>
      <c r="L6" s="3" t="n">
        <v>35</v>
      </c>
      <c r="M6" s="3" t="n"/>
    </row>
    <row r="7">
      <c r="A7" s="3" t="inlineStr">
        <is>
          <t>LYM-CV-2026-0005</t>
        </is>
      </c>
      <c r="B7" s="3" t="inlineStr">
        <is>
          <t>HONDA CIVIC 2018</t>
        </is>
      </c>
      <c r="C7" s="4" t="n">
        <v>46167</v>
      </c>
      <c r="D7" s="4" t="n">
        <v>46168</v>
      </c>
      <c r="E7" s="4" t="n">
        <v>46168</v>
      </c>
      <c r="F7" s="4" t="n">
        <v>46179</v>
      </c>
      <c r="G7" s="4" t="n">
        <v>46179</v>
      </c>
      <c r="H7" s="4" t="n">
        <v>46180</v>
      </c>
      <c r="I7" s="4" t="n">
        <v>46182</v>
      </c>
      <c r="J7" s="4" t="n">
        <v>46183</v>
      </c>
      <c r="K7" s="4" t="n"/>
      <c r="L7" s="3" t="n">
        <v>16</v>
      </c>
      <c r="M7" s="3" t="n"/>
    </row>
    <row r="8">
      <c r="A8" s="3" t="inlineStr">
        <is>
          <t>LYM-CV-2026-0006</t>
        </is>
      </c>
      <c r="B8" s="3" t="inlineStr">
        <is>
          <t>HYUNDAI SANTA FE 2019</t>
        </is>
      </c>
      <c r="C8" s="4" t="n">
        <v>46146</v>
      </c>
      <c r="D8" s="4" t="n"/>
      <c r="E8" s="4" t="n"/>
      <c r="F8" s="4" t="n"/>
      <c r="G8" s="4" t="n"/>
      <c r="H8" s="4" t="n"/>
      <c r="I8" s="4" t="n"/>
      <c r="J8" s="4" t="n"/>
      <c r="K8" s="4" t="n"/>
      <c r="L8" s="3" t="n"/>
      <c r="M8" s="3" t="n"/>
    </row>
    <row r="9">
      <c r="A9" s="3" t="inlineStr">
        <is>
          <t>LYM-CV-2026-0007</t>
        </is>
      </c>
      <c r="B9" s="3" t="inlineStr">
        <is>
          <t>HONDA CIVIC 2019</t>
        </is>
      </c>
      <c r="C9" s="4" t="n">
        <v>46143</v>
      </c>
      <c r="D9" s="4" t="n">
        <v>46146</v>
      </c>
      <c r="E9" s="4" t="n">
        <v>46150</v>
      </c>
      <c r="F9" s="4" t="n">
        <v>46154</v>
      </c>
      <c r="G9" s="4" t="n">
        <v>46157</v>
      </c>
      <c r="H9" s="4" t="n"/>
      <c r="I9" s="4" t="n"/>
      <c r="J9" s="4" t="n">
        <v>46169</v>
      </c>
      <c r="K9" s="4" t="n"/>
      <c r="L9" s="3" t="n">
        <v>26</v>
      </c>
      <c r="M9" s="3" t="n"/>
    </row>
    <row r="10">
      <c r="A10" s="3" t="inlineStr">
        <is>
          <t>LYM-CV-2026-0008</t>
        </is>
      </c>
      <c r="B10" s="3" t="inlineStr">
        <is>
          <t>FORD ESCAPE 2017</t>
        </is>
      </c>
      <c r="C10" s="4" t="n">
        <v>46153</v>
      </c>
      <c r="D10" s="4" t="n">
        <v>46182</v>
      </c>
      <c r="E10" s="4" t="n">
        <v>46182</v>
      </c>
      <c r="F10" s="4" t="n">
        <v>46182</v>
      </c>
      <c r="G10" s="4" t="n">
        <v>46182</v>
      </c>
      <c r="H10" s="4" t="n"/>
      <c r="I10" s="4" t="n"/>
      <c r="J10" s="4" t="n">
        <v>46182</v>
      </c>
      <c r="K10" s="4" t="n"/>
      <c r="L10" s="3" t="n">
        <v>29</v>
      </c>
      <c r="M10" s="3" t="n"/>
    </row>
    <row r="11">
      <c r="A11" s="3" t="inlineStr">
        <is>
          <t>LYM-CV-2026-0009</t>
        </is>
      </c>
      <c r="B11" s="3" t="inlineStr">
        <is>
          <t>HONDA CIVIC 2017</t>
        </is>
      </c>
      <c r="C11" s="4" t="n">
        <v>46162</v>
      </c>
      <c r="D11" s="4" t="n">
        <v>46182</v>
      </c>
      <c r="E11" s="4" t="n">
        <v>46182</v>
      </c>
      <c r="F11" s="4" t="n">
        <v>46182</v>
      </c>
      <c r="G11" s="4" t="n">
        <v>46182</v>
      </c>
      <c r="H11" s="4" t="n"/>
      <c r="I11" s="4" t="n"/>
      <c r="J11" s="4" t="n">
        <v>46182</v>
      </c>
      <c r="K11" s="4" t="n"/>
      <c r="L11" s="3" t="n">
        <v>20</v>
      </c>
      <c r="M11" s="3" t="n"/>
    </row>
    <row r="12">
      <c r="A12" s="3" t="inlineStr">
        <is>
          <t>LYM-CV-2026-0010</t>
        </is>
      </c>
      <c r="B12" s="3" t="inlineStr">
        <is>
          <t>HYUNDAI ELANTRA 2019</t>
        </is>
      </c>
      <c r="C12" s="4" t="n">
        <v>46143</v>
      </c>
      <c r="D12" s="4" t="n">
        <v>46146</v>
      </c>
      <c r="E12" s="4" t="n">
        <v>46147</v>
      </c>
      <c r="F12" s="4" t="n">
        <v>46148</v>
      </c>
      <c r="G12" s="4" t="n">
        <v>46162</v>
      </c>
      <c r="H12" s="4" t="n">
        <v>46170</v>
      </c>
      <c r="I12" s="4" t="n">
        <v>46177</v>
      </c>
      <c r="J12" s="4" t="n">
        <v>46181</v>
      </c>
      <c r="K12" s="4" t="n">
        <v>46184</v>
      </c>
      <c r="L12" s="3" t="n">
        <v>38</v>
      </c>
      <c r="M12" s="3" t="n">
        <v>41</v>
      </c>
    </row>
    <row r="13">
      <c r="A13" s="3" t="inlineStr">
        <is>
          <t>LYM-CV-2026-0011</t>
        </is>
      </c>
      <c r="B13" s="3" t="inlineStr">
        <is>
          <t>HONDA CRV 2020</t>
        </is>
      </c>
      <c r="C13" s="4" t="n">
        <v>46139</v>
      </c>
      <c r="D13" s="4" t="n">
        <v>46140</v>
      </c>
      <c r="E13" s="4" t="n">
        <v>46141</v>
      </c>
      <c r="F13" s="4" t="n">
        <v>46141</v>
      </c>
      <c r="G13" s="4" t="n">
        <v>46154</v>
      </c>
      <c r="H13" s="4" t="n">
        <v>46162</v>
      </c>
      <c r="I13" s="4" t="n">
        <v>46165</v>
      </c>
      <c r="J13" s="4" t="n">
        <v>46183</v>
      </c>
      <c r="K13" s="4" t="n"/>
      <c r="L13" s="3" t="n">
        <v>44</v>
      </c>
      <c r="M13" s="3" t="n"/>
    </row>
    <row r="14">
      <c r="A14" s="3" t="inlineStr">
        <is>
          <t>LYM-CV-2026-0012</t>
        </is>
      </c>
      <c r="B14" s="3" t="inlineStr">
        <is>
          <t>HYUNDAI ELANTRA 2020</t>
        </is>
      </c>
      <c r="C14" s="4" t="n">
        <v>46146</v>
      </c>
      <c r="D14" s="4" t="n">
        <v>46147</v>
      </c>
      <c r="E14" s="4" t="n">
        <v>46148</v>
      </c>
      <c r="F14" s="4" t="n">
        <v>46148</v>
      </c>
      <c r="G14" s="4" t="n">
        <v>46157</v>
      </c>
      <c r="H14" s="4" t="n">
        <v>46164</v>
      </c>
      <c r="I14" s="4" t="n">
        <v>46174</v>
      </c>
      <c r="J14" s="4" t="n">
        <v>46178</v>
      </c>
      <c r="K14" s="4" t="n"/>
      <c r="L14" s="3" t="n">
        <v>32</v>
      </c>
      <c r="M14" s="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7" t="inlineStr">
        <is>
          <t>HISTORIAL DISPONIBLE PARA LA VENTA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>
      <c r="A2" s="18" t="inlineStr">
        <is>
          <t>Semanas calculadas desde las fechas de disponible y venta registradas en el sistema.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</row>
    <row r="4">
      <c r="A4" s="13" t="inlineStr">
        <is>
          <t>Semana</t>
        </is>
      </c>
      <c r="B4" s="13" t="inlineStr">
        <is>
          <t>Desde</t>
        </is>
      </c>
      <c r="C4" s="13" t="inlineStr">
        <is>
          <t>Hasta</t>
        </is>
      </c>
      <c r="D4" s="13" t="inlineStr">
        <is>
          <t>Disponibles</t>
        </is>
      </c>
      <c r="E4" s="13" t="inlineStr">
        <is>
          <t>Vendidos acumulados</t>
        </is>
      </c>
      <c r="F4" s="13" t="inlineStr">
        <is>
          <t>Capital disponible</t>
        </is>
      </c>
      <c r="G4" s="13" t="inlineStr">
        <is>
          <t>Ganancia esperada</t>
        </is>
      </c>
      <c r="H4" s="13" t="inlineStr">
        <is>
          <t>Vehículos disponibles</t>
        </is>
      </c>
      <c r="I4" s="13" t="inlineStr">
        <is>
          <t>Observaciones</t>
        </is>
      </c>
    </row>
    <row r="5">
      <c r="A5" s="3" t="inlineStr">
        <is>
          <t>Semana 1</t>
        </is>
      </c>
      <c r="B5" s="4" t="n">
        <v>46139</v>
      </c>
      <c r="C5" s="4" t="n">
        <v>46145</v>
      </c>
      <c r="D5" s="3" t="n">
        <v>0</v>
      </c>
      <c r="E5" s="3" t="n">
        <v>0</v>
      </c>
      <c r="F5" s="19" t="n">
        <v>0</v>
      </c>
      <c r="G5" s="19" t="n">
        <v>0</v>
      </c>
      <c r="H5" s="3" t="inlineStr"/>
      <c r="I5" s="3" t="inlineStr"/>
    </row>
    <row r="6">
      <c r="A6" s="3" t="inlineStr">
        <is>
          <t>Semana 2</t>
        </is>
      </c>
      <c r="B6" s="4" t="n">
        <v>46146</v>
      </c>
      <c r="C6" s="4" t="n">
        <v>46152</v>
      </c>
      <c r="D6" s="3" t="n">
        <v>0</v>
      </c>
      <c r="E6" s="3" t="n">
        <v>0</v>
      </c>
      <c r="F6" s="19" t="n">
        <v>0</v>
      </c>
      <c r="G6" s="19" t="n">
        <v>0</v>
      </c>
      <c r="H6" s="3" t="inlineStr"/>
      <c r="I6" s="3" t="inlineStr"/>
    </row>
    <row r="7">
      <c r="A7" s="3" t="inlineStr">
        <is>
          <t>Semana 3</t>
        </is>
      </c>
      <c r="B7" s="4" t="n">
        <v>46153</v>
      </c>
      <c r="C7" s="4" t="n">
        <v>46159</v>
      </c>
      <c r="D7" s="3" t="n">
        <v>0</v>
      </c>
      <c r="E7" s="3" t="n">
        <v>0</v>
      </c>
      <c r="F7" s="19" t="n">
        <v>0</v>
      </c>
      <c r="G7" s="19" t="n">
        <v>0</v>
      </c>
      <c r="H7" s="3" t="inlineStr"/>
      <c r="I7" s="3" t="inlineStr"/>
    </row>
    <row r="8">
      <c r="A8" s="3" t="inlineStr">
        <is>
          <t>Semana 4</t>
        </is>
      </c>
      <c r="B8" s="4" t="n">
        <v>46160</v>
      </c>
      <c r="C8" s="4" t="n">
        <v>46166</v>
      </c>
      <c r="D8" s="3" t="n">
        <v>0</v>
      </c>
      <c r="E8" s="3" t="n">
        <v>0</v>
      </c>
      <c r="F8" s="19" t="n">
        <v>0</v>
      </c>
      <c r="G8" s="19" t="n">
        <v>0</v>
      </c>
      <c r="H8" s="3" t="inlineStr"/>
      <c r="I8" s="3" t="inlineStr"/>
    </row>
    <row r="9">
      <c r="A9" s="3" t="inlineStr">
        <is>
          <t>Semana 5</t>
        </is>
      </c>
      <c r="B9" s="4" t="n">
        <v>46167</v>
      </c>
      <c r="C9" s="4" t="n">
        <v>46173</v>
      </c>
      <c r="D9" s="3" t="n">
        <v>2</v>
      </c>
      <c r="E9" s="3" t="n">
        <v>0</v>
      </c>
      <c r="F9" s="19" t="n">
        <v>14000</v>
      </c>
      <c r="G9" s="19" t="n">
        <v>1068.96</v>
      </c>
      <c r="H9" s="3" t="inlineStr">
        <is>
          <t>ELANTRA, CIVIC</t>
        </is>
      </c>
      <c r="I9" s="3" t="inlineStr"/>
    </row>
    <row r="10">
      <c r="A10" s="3" t="inlineStr">
        <is>
          <t>Semana 6</t>
        </is>
      </c>
      <c r="B10" s="4" t="n">
        <v>46174</v>
      </c>
      <c r="C10" s="4" t="n">
        <v>46180</v>
      </c>
      <c r="D10" s="3" t="n">
        <v>5</v>
      </c>
      <c r="E10" s="3" t="n">
        <v>0</v>
      </c>
      <c r="F10" s="19" t="n">
        <v>31256.77</v>
      </c>
      <c r="G10" s="19" t="n">
        <v>4187.780000000001</v>
      </c>
      <c r="H10" s="3" t="inlineStr">
        <is>
          <t>ELANTRA, MATRIX, ESCAPE, CIVIC, ELANTRA</t>
        </is>
      </c>
      <c r="I10" s="3" t="inlineStr"/>
    </row>
    <row r="11">
      <c r="A11" s="3" t="inlineStr">
        <is>
          <t>Semana 7</t>
        </is>
      </c>
      <c r="B11" s="4" t="n">
        <v>46181</v>
      </c>
      <c r="C11" s="4" t="n">
        <v>46187</v>
      </c>
      <c r="D11" s="3" t="n">
        <v>10</v>
      </c>
      <c r="E11" s="3" t="n">
        <v>1</v>
      </c>
      <c r="F11" s="19" t="n">
        <v>62786</v>
      </c>
      <c r="G11" s="19" t="n">
        <v>10747.47</v>
      </c>
      <c r="H11" s="3" t="inlineStr">
        <is>
          <t>ELANTRA, MATRIX, ESCAPE, CIVIC, CIVIC, ESCAPE, CIVIC, ELANTRA</t>
        </is>
      </c>
      <c r="I11" s="3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2026-06-11T20:12:42Z</dcterms:created>
  <dcterms:modified xmlns:dcterms="http://purl.org/dc/terms/" xmlns:xsi="http://www.w3.org/2001/XMLSchema-instance" xsi:type="dcterms:W3CDTF">2026-06-11T20:12:42Z</dcterms:modified>
</cp:coreProperties>
</file>