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rupologistico-my.sharepoint.com/personal/jonathan_guardado_glcamerica_com/Documents/PROYECTO L Y M/CONTROL VEHICULOS LYM/REPORTES/"/>
    </mc:Choice>
  </mc:AlternateContent>
  <xr:revisionPtr revIDLastSave="3" documentId="11_193B0EE0344FECF75994E742A0354A7AFC3BFA69" xr6:coauthVersionLast="47" xr6:coauthVersionMax="47" xr10:uidLastSave="{7EFA79C1-A272-4CCE-A388-AEA2E5CCD68A}"/>
  <bookViews>
    <workbookView xWindow="-108" yWindow="-108" windowWidth="23256" windowHeight="13896" activeTab="1" xr2:uid="{00000000-000D-0000-FFFF-FFFF00000000}"/>
  </bookViews>
  <sheets>
    <sheet name="Control Cotizaciones" sheetId="1" r:id="rId1"/>
    <sheet name="Dashboard Cotizaciones" sheetId="2" r:id="rId2"/>
  </sheets>
  <definedNames>
    <definedName name="_xlnm._FilterDatabase" localSheetId="0" hidden="1">'Control Cotizaciones'!$A$4:$M$10</definedName>
  </definedNames>
  <calcPr calcId="0"/>
</workbook>
</file>

<file path=xl/sharedStrings.xml><?xml version="1.0" encoding="utf-8"?>
<sst xmlns="http://schemas.openxmlformats.org/spreadsheetml/2006/main" count="102" uniqueCount="73">
  <si>
    <t>CONTROL DE COTIZACIONES - L&amp;M INVERSIONES</t>
  </si>
  <si>
    <t>FECHA</t>
  </si>
  <si>
    <t>CORRELATIVO</t>
  </si>
  <si>
    <t>NOMBRE DEL CLIENTE</t>
  </si>
  <si>
    <t>VEHÍCULO COTIZADO</t>
  </si>
  <si>
    <t>AÑO</t>
  </si>
  <si>
    <t>TELÉFONO</t>
  </si>
  <si>
    <t>MEDIO</t>
  </si>
  <si>
    <t>TIPO DE NEGOCIO</t>
  </si>
  <si>
    <t>OBSERVACIONES</t>
  </si>
  <si>
    <t>ESTATUS</t>
  </si>
  <si>
    <t>COLOR</t>
  </si>
  <si>
    <t>CUOTA</t>
  </si>
  <si>
    <t>PRIMA REQUERIDA</t>
  </si>
  <si>
    <t>COT-001</t>
  </si>
  <si>
    <t>MARIA</t>
  </si>
  <si>
    <t>HYUNDAI ELANTRA</t>
  </si>
  <si>
    <t>9781595</t>
  </si>
  <si>
    <t>TIKTOK</t>
  </si>
  <si>
    <t>LEASING</t>
  </si>
  <si>
    <t>Compra cerrada</t>
  </si>
  <si>
    <t>CERRADA</t>
  </si>
  <si>
    <t>COT-002</t>
  </si>
  <si>
    <t>JOSUE</t>
  </si>
  <si>
    <t>HONDA CRV</t>
  </si>
  <si>
    <t>9850419</t>
  </si>
  <si>
    <t>FACEBOOK</t>
  </si>
  <si>
    <t>Cotización enviada</t>
  </si>
  <si>
    <t>VERDE</t>
  </si>
  <si>
    <t>COT-003</t>
  </si>
  <si>
    <t>JUANITO</t>
  </si>
  <si>
    <t>97978181</t>
  </si>
  <si>
    <t>COT-004</t>
  </si>
  <si>
    <t>PEDRO</t>
  </si>
  <si>
    <t>HONDA CIVIC</t>
  </si>
  <si>
    <t>98989898</t>
  </si>
  <si>
    <t>REFERIDO</t>
  </si>
  <si>
    <t>COT-005</t>
  </si>
  <si>
    <t>LUPITA</t>
  </si>
  <si>
    <t>85858585</t>
  </si>
  <si>
    <t>WHATSAPP</t>
  </si>
  <si>
    <t>COT-006</t>
  </si>
  <si>
    <t>JONA</t>
  </si>
  <si>
    <t>918189</t>
  </si>
  <si>
    <t>DASHBOARD GERENCIAL DE COTIZACIONES</t>
  </si>
  <si>
    <t>Corte 11 de Junio de 2026 · Seguimiento comercial por cliente, medio, color y vehículo cotizado</t>
  </si>
  <si>
    <t>Total</t>
  </si>
  <si>
    <t>Verde</t>
  </si>
  <si>
    <t>Amarillo</t>
  </si>
  <si>
    <t>Rojo</t>
  </si>
  <si>
    <t>Ganadas</t>
  </si>
  <si>
    <t>Reofertar</t>
  </si>
  <si>
    <t>Perdidas</t>
  </si>
  <si>
    <t>Cotizaciones por mes</t>
  </si>
  <si>
    <t>Medios de contacto</t>
  </si>
  <si>
    <t>Colores seguimiento</t>
  </si>
  <si>
    <t>Carros más cotizados</t>
  </si>
  <si>
    <t>Concepto</t>
  </si>
  <si>
    <t>Cantidad</t>
  </si>
  <si>
    <t>2026-06</t>
  </si>
  <si>
    <t>HONDA CRV 2019</t>
  </si>
  <si>
    <t>GANADAS</t>
  </si>
  <si>
    <t>HYUNDAI ELANTRA 2019</t>
  </si>
  <si>
    <t>AMARILLO</t>
  </si>
  <si>
    <t>HONDA CRV 2020</t>
  </si>
  <si>
    <t>ROJO</t>
  </si>
  <si>
    <t>HYUNDAI ELANTRA 2020</t>
  </si>
  <si>
    <t>REOFERTAR</t>
  </si>
  <si>
    <t>HONDA CIVIC 2018</t>
  </si>
  <si>
    <t>PERDIDAS</t>
  </si>
  <si>
    <t>ALERTAS COMERCIALES</t>
  </si>
  <si>
    <t>LYM-CV-2026-0003: fechas invertidas en Traslado USA.</t>
  </si>
  <si>
    <t>LYM-CV-2026-0003: fechas invertidas en Aduana.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</si>
</sst>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"/>
    <numFmt numFmtId="166" formatCode="\$#,##0.00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0"/>
      <color rgb="FFFFFFFF"/>
      <name val="Calibri"/>
    </font>
    <font>
      <sz val="10"/>
      <color rgb="FF0B172A"/>
      <name val="Calibri"/>
    </font>
    <font>
      <b/>
      <sz val="18"/>
      <color rgb="FFFFFFFF"/>
      <name val="Calibri"/>
    </font>
    <font>
      <b/>
      <sz val="11"/>
      <color rgb="FF08285A"/>
      <name val="Calibri"/>
    </font>
    <font>
      <b/>
      <sz val="16"/>
      <color rgb="FF08285A"/>
      <name val="Calibri"/>
    </font>
    <font>
      <b/>
      <sz val="11"/>
      <color rgb="FFFFFFFF"/>
      <name val="Calibri"/>
    </font>
    <font>
      <b/>
      <sz val="10"/>
      <color rgb="FF08285A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8285A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EFF4F9"/>
      </patternFill>
    </fill>
    <fill>
      <patternFill patternType="solid">
        <fgColor rgb="FFFFFFFF"/>
      </patternFill>
    </fill>
    <fill>
      <patternFill patternType="solid">
        <fgColor rgb="FFF59A13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6" fontId="3" fillId="4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HN"/>
              <a:t>Cotizaciones por mes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Cotizaciones'!$B$9</c:f>
              <c:strCache>
                <c:ptCount val="1"/>
                <c:pt idx="0">
                  <c:v>Cantidad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H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Cotizaciones'!$A$10</c:f>
              <c:strCache>
                <c:ptCount val="1"/>
                <c:pt idx="0">
                  <c:v>2026-06</c:v>
                </c:pt>
              </c:strCache>
            </c:strRef>
          </c:cat>
          <c:val>
            <c:numRef>
              <c:f>'Dashboard Cotizaciones'!$B$10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E-4939-8194-3B0C98311C3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HN"/>
              <a:t>Medios de contacto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'Dashboard Cotizaciones'!$E$9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H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Cotizaciones'!$D$10:$D$13</c:f>
              <c:strCache>
                <c:ptCount val="4"/>
                <c:pt idx="0">
                  <c:v>TIKTOK</c:v>
                </c:pt>
                <c:pt idx="1">
                  <c:v>REFERIDO</c:v>
                </c:pt>
                <c:pt idx="2">
                  <c:v>FACEBOOK</c:v>
                </c:pt>
                <c:pt idx="3">
                  <c:v>WHATSAPP</c:v>
                </c:pt>
              </c:strCache>
            </c:strRef>
          </c:cat>
          <c:val>
            <c:numRef>
              <c:f>'Dashboard Cotizaciones'!$E$10:$E$13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0-4504-BBC3-9462FE22985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HN"/>
              <a:t>Carros más cotizados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Cotizaciones'!$K$9</c:f>
              <c:strCache>
                <c:ptCount val="1"/>
                <c:pt idx="0">
                  <c:v>Cantidad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H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Cotizaciones'!$J$10:$J$14</c:f>
              <c:strCache>
                <c:ptCount val="5"/>
                <c:pt idx="0">
                  <c:v>HONDA CRV 2019</c:v>
                </c:pt>
                <c:pt idx="1">
                  <c:v>HYUNDAI ELANTRA 2019</c:v>
                </c:pt>
                <c:pt idx="2">
                  <c:v>HONDA CRV 2020</c:v>
                </c:pt>
                <c:pt idx="3">
                  <c:v>HYUNDAI ELANTRA 2020</c:v>
                </c:pt>
                <c:pt idx="4">
                  <c:v>HONDA CIVIC 2018</c:v>
                </c:pt>
              </c:strCache>
            </c:strRef>
          </c:cat>
          <c:val>
            <c:numRef>
              <c:f>'Dashboard Cotizaciones'!$K$10:$K$14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02-4D94-B7C1-0972082E61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HN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22</xdr:row>
      <xdr:rowOff>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22</xdr:row>
      <xdr:rowOff>0</xdr:rowOff>
    </xdr:from>
    <xdr:ext cx="468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showGridLines="0" workbookViewId="0">
      <pane ySplit="4" topLeftCell="A5" activePane="bottomLeft" state="frozen"/>
      <selection pane="bottomLeft" activeCell="M10" sqref="M10"/>
    </sheetView>
  </sheetViews>
  <sheetFormatPr baseColWidth="10" defaultColWidth="8.88671875" defaultRowHeight="14.4" x14ac:dyDescent="0.3"/>
  <cols>
    <col min="1" max="14" width="16" customWidth="1"/>
  </cols>
  <sheetData>
    <row r="1" spans="1:13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spans="1:13" ht="27.6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x14ac:dyDescent="0.3">
      <c r="A5" s="2">
        <v>46183</v>
      </c>
      <c r="B5" s="3" t="s">
        <v>14</v>
      </c>
      <c r="C5" s="3" t="s">
        <v>15</v>
      </c>
      <c r="D5" s="3" t="s">
        <v>16</v>
      </c>
      <c r="E5" s="3">
        <v>2019</v>
      </c>
      <c r="F5" s="3" t="s">
        <v>17</v>
      </c>
      <c r="G5" s="3" t="s">
        <v>18</v>
      </c>
      <c r="H5" s="3" t="s">
        <v>19</v>
      </c>
      <c r="I5" s="3"/>
      <c r="J5" s="3" t="s">
        <v>20</v>
      </c>
      <c r="K5" s="3" t="s">
        <v>21</v>
      </c>
      <c r="L5" s="4">
        <v>371.6</v>
      </c>
      <c r="M5" s="4">
        <v>1982.2</v>
      </c>
    </row>
    <row r="6" spans="1:13" x14ac:dyDescent="0.3">
      <c r="A6" s="5">
        <v>46183</v>
      </c>
      <c r="B6" s="6" t="s">
        <v>22</v>
      </c>
      <c r="C6" s="6" t="s">
        <v>23</v>
      </c>
      <c r="D6" s="6" t="s">
        <v>24</v>
      </c>
      <c r="E6" s="6">
        <v>2020</v>
      </c>
      <c r="F6" s="6" t="s">
        <v>25</v>
      </c>
      <c r="G6" s="6" t="s">
        <v>26</v>
      </c>
      <c r="H6" s="6" t="s">
        <v>19</v>
      </c>
      <c r="I6" s="6"/>
      <c r="J6" s="6" t="s">
        <v>27</v>
      </c>
      <c r="K6" s="6" t="s">
        <v>28</v>
      </c>
      <c r="L6" s="7">
        <v>1170.17</v>
      </c>
      <c r="M6" s="7">
        <v>2553.64</v>
      </c>
    </row>
    <row r="7" spans="1:13" x14ac:dyDescent="0.3">
      <c r="A7" s="5">
        <v>46183</v>
      </c>
      <c r="B7" s="6" t="s">
        <v>29</v>
      </c>
      <c r="C7" s="6" t="s">
        <v>30</v>
      </c>
      <c r="D7" s="6" t="s">
        <v>16</v>
      </c>
      <c r="E7" s="6">
        <v>2020</v>
      </c>
      <c r="F7" s="6" t="s">
        <v>31</v>
      </c>
      <c r="G7" s="6" t="s">
        <v>18</v>
      </c>
      <c r="H7" s="6" t="s">
        <v>19</v>
      </c>
      <c r="I7" s="6"/>
      <c r="J7" s="6" t="s">
        <v>27</v>
      </c>
      <c r="K7" s="6" t="s">
        <v>28</v>
      </c>
      <c r="L7" s="7">
        <v>871.04</v>
      </c>
      <c r="M7" s="7">
        <v>1951.35</v>
      </c>
    </row>
    <row r="8" spans="1:13" x14ac:dyDescent="0.3">
      <c r="A8" s="5">
        <v>46184</v>
      </c>
      <c r="B8" s="6" t="s">
        <v>32</v>
      </c>
      <c r="C8" s="6" t="s">
        <v>33</v>
      </c>
      <c r="D8" s="6" t="s">
        <v>34</v>
      </c>
      <c r="E8" s="6">
        <v>2018</v>
      </c>
      <c r="F8" s="6" t="s">
        <v>35</v>
      </c>
      <c r="G8" s="6" t="s">
        <v>36</v>
      </c>
      <c r="H8" s="6" t="s">
        <v>19</v>
      </c>
      <c r="I8" s="6"/>
      <c r="J8" s="6" t="s">
        <v>27</v>
      </c>
      <c r="K8" s="6" t="s">
        <v>28</v>
      </c>
      <c r="L8" s="7">
        <v>278.70999999999998</v>
      </c>
      <c r="M8" s="7">
        <v>570</v>
      </c>
    </row>
    <row r="9" spans="1:13" x14ac:dyDescent="0.3">
      <c r="A9" s="5">
        <v>46184</v>
      </c>
      <c r="B9" s="6" t="s">
        <v>37</v>
      </c>
      <c r="C9" s="6" t="s">
        <v>38</v>
      </c>
      <c r="D9" s="6" t="s">
        <v>24</v>
      </c>
      <c r="E9" s="6">
        <v>2019</v>
      </c>
      <c r="F9" s="6" t="s">
        <v>39</v>
      </c>
      <c r="G9" s="6" t="s">
        <v>40</v>
      </c>
      <c r="H9" s="6" t="s">
        <v>19</v>
      </c>
      <c r="I9" s="6"/>
      <c r="J9" s="6" t="s">
        <v>27</v>
      </c>
      <c r="K9" s="6" t="s">
        <v>28</v>
      </c>
      <c r="L9" s="7">
        <v>764.93</v>
      </c>
      <c r="M9" s="7">
        <v>1700</v>
      </c>
    </row>
    <row r="10" spans="1:13" x14ac:dyDescent="0.3">
      <c r="A10" s="5">
        <v>46184</v>
      </c>
      <c r="B10" s="6" t="s">
        <v>41</v>
      </c>
      <c r="C10" s="6" t="s">
        <v>42</v>
      </c>
      <c r="D10" s="6" t="s">
        <v>24</v>
      </c>
      <c r="E10" s="6">
        <v>2019</v>
      </c>
      <c r="F10" s="6" t="s">
        <v>43</v>
      </c>
      <c r="G10" s="6" t="s">
        <v>36</v>
      </c>
      <c r="H10" s="6" t="s">
        <v>19</v>
      </c>
      <c r="I10" s="6"/>
      <c r="J10" s="6" t="s">
        <v>27</v>
      </c>
      <c r="K10" s="6" t="s">
        <v>28</v>
      </c>
      <c r="L10" s="7">
        <v>463.2</v>
      </c>
      <c r="M10" s="7">
        <v>1700</v>
      </c>
    </row>
  </sheetData>
  <autoFilter ref="A4:M10" xr:uid="{00000000-0009-0000-0000-000000000000}"/>
  <mergeCells count="1">
    <mergeCell ref="A1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4"/>
  <sheetViews>
    <sheetView showGridLines="0" tabSelected="1" workbookViewId="0">
      <selection activeCell="B8" sqref="B8"/>
    </sheetView>
  </sheetViews>
  <sheetFormatPr baseColWidth="10" defaultColWidth="8.88671875" defaultRowHeight="14.4" x14ac:dyDescent="0.3"/>
  <cols>
    <col min="1" max="14" width="16" customWidth="1"/>
  </cols>
  <sheetData>
    <row r="1" spans="1:14" ht="23.4" x14ac:dyDescent="0.3">
      <c r="A1" s="15" t="s">
        <v>44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3">
      <c r="A2" s="14" t="s">
        <v>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spans="1:14" x14ac:dyDescent="0.3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</row>
    <row r="5" spans="1:14" ht="21" x14ac:dyDescent="0.3">
      <c r="A5" s="8">
        <v>6</v>
      </c>
      <c r="B5" s="8">
        <v>5</v>
      </c>
      <c r="C5" s="8">
        <v>0</v>
      </c>
      <c r="D5" s="8">
        <v>0</v>
      </c>
      <c r="E5" s="8">
        <v>1</v>
      </c>
      <c r="F5" s="8">
        <v>0</v>
      </c>
      <c r="G5" s="8">
        <v>0</v>
      </c>
    </row>
    <row r="8" spans="1:14" ht="28.8" x14ac:dyDescent="0.3">
      <c r="A8" s="9" t="s">
        <v>53</v>
      </c>
      <c r="B8" s="9"/>
      <c r="D8" s="9" t="s">
        <v>54</v>
      </c>
      <c r="E8" s="9"/>
      <c r="G8" s="9" t="s">
        <v>55</v>
      </c>
      <c r="H8" s="9"/>
      <c r="J8" s="9" t="s">
        <v>56</v>
      </c>
      <c r="K8" s="9"/>
    </row>
    <row r="9" spans="1:14" x14ac:dyDescent="0.3">
      <c r="A9" s="10" t="s">
        <v>57</v>
      </c>
      <c r="B9" s="10" t="s">
        <v>58</v>
      </c>
      <c r="D9" s="10" t="s">
        <v>57</v>
      </c>
      <c r="E9" s="10" t="s">
        <v>58</v>
      </c>
      <c r="G9" s="10" t="s">
        <v>57</v>
      </c>
      <c r="H9" s="10" t="s">
        <v>58</v>
      </c>
      <c r="J9" s="10" t="s">
        <v>57</v>
      </c>
      <c r="K9" s="10" t="s">
        <v>58</v>
      </c>
    </row>
    <row r="10" spans="1:14" x14ac:dyDescent="0.3">
      <c r="A10" s="11" t="s">
        <v>59</v>
      </c>
      <c r="B10" s="11">
        <v>6</v>
      </c>
      <c r="D10" s="11" t="s">
        <v>18</v>
      </c>
      <c r="E10" s="11">
        <v>2</v>
      </c>
      <c r="G10" s="11" t="s">
        <v>28</v>
      </c>
      <c r="H10" s="11">
        <v>5</v>
      </c>
      <c r="J10" s="11" t="s">
        <v>60</v>
      </c>
      <c r="K10" s="11">
        <v>2</v>
      </c>
    </row>
    <row r="11" spans="1:14" ht="27.6" x14ac:dyDescent="0.3">
      <c r="D11" s="11" t="s">
        <v>36</v>
      </c>
      <c r="E11" s="11">
        <v>2</v>
      </c>
      <c r="G11" s="11" t="s">
        <v>61</v>
      </c>
      <c r="H11" s="11">
        <v>1</v>
      </c>
      <c r="J11" s="11" t="s">
        <v>62</v>
      </c>
      <c r="K11" s="11">
        <v>1</v>
      </c>
    </row>
    <row r="12" spans="1:14" x14ac:dyDescent="0.3">
      <c r="D12" s="11" t="s">
        <v>26</v>
      </c>
      <c r="E12" s="11">
        <v>1</v>
      </c>
      <c r="G12" s="11" t="s">
        <v>63</v>
      </c>
      <c r="H12" s="11">
        <v>0</v>
      </c>
      <c r="J12" s="11" t="s">
        <v>64</v>
      </c>
      <c r="K12" s="11">
        <v>1</v>
      </c>
    </row>
    <row r="13" spans="1:14" ht="27.6" x14ac:dyDescent="0.3">
      <c r="D13" s="11" t="s">
        <v>40</v>
      </c>
      <c r="E13" s="11">
        <v>1</v>
      </c>
      <c r="G13" s="11" t="s">
        <v>65</v>
      </c>
      <c r="H13" s="11">
        <v>0</v>
      </c>
      <c r="J13" s="11" t="s">
        <v>66</v>
      </c>
      <c r="K13" s="11">
        <v>1</v>
      </c>
    </row>
    <row r="14" spans="1:14" x14ac:dyDescent="0.3">
      <c r="G14" s="11" t="s">
        <v>67</v>
      </c>
      <c r="H14" s="11">
        <v>0</v>
      </c>
      <c r="J14" s="11" t="s">
        <v>68</v>
      </c>
      <c r="K14" s="11">
        <v>1</v>
      </c>
    </row>
    <row r="15" spans="1:14" x14ac:dyDescent="0.3">
      <c r="G15" s="11" t="s">
        <v>69</v>
      </c>
      <c r="H15" s="11">
        <v>0</v>
      </c>
    </row>
    <row r="42" spans="1:8" ht="28.8" x14ac:dyDescent="0.3">
      <c r="A42" s="12" t="s">
        <v>70</v>
      </c>
      <c r="B42" s="12"/>
      <c r="C42" s="12"/>
      <c r="D42" s="12"/>
      <c r="E42" s="12"/>
      <c r="F42" s="12"/>
      <c r="G42" s="12"/>
      <c r="H42" s="12"/>
    </row>
    <row r="43" spans="1:8" x14ac:dyDescent="0.3">
      <c r="A43" t="s">
        <v>71</v>
      </c>
    </row>
    <row r="44" spans="1:8" x14ac:dyDescent="0.3">
      <c r="A44" t="s">
        <v>72</v>
      </c>
    </row>
  </sheetData>
  <mergeCells count="2">
    <mergeCell ref="A2:N2"/>
    <mergeCell ref="A1:N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Control Cotizaciones</vt:lpstr>
      <vt:lpstr>Dashboard Cotizaciones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Guardado</cp:lastModifiedBy>
  <dcterms:created xsi:type="dcterms:W3CDTF">2026-06-11T22:46:12Z</dcterms:created>
  <dcterms:modified xsi:type="dcterms:W3CDTF">2026-06-11T22:47:16Z</dcterms:modified>
</cp:coreProperties>
</file>